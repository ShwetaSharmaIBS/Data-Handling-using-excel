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a Sharma\Desktop\Excel workshop\"/>
    </mc:Choice>
  </mc:AlternateContent>
  <xr:revisionPtr revIDLastSave="0" documentId="8_{F6D6DFBB-B79A-40FD-A5FC-501D51689D2A}" xr6:coauthVersionLast="47" xr6:coauthVersionMax="47" xr10:uidLastSave="{00000000-0000-0000-0000-000000000000}"/>
  <bookViews>
    <workbookView xWindow="-108" yWindow="-108" windowWidth="23256" windowHeight="12456" xr2:uid="{5DFC9D00-5C2E-4D23-A912-1517DB9333F6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2" i="2" l="1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T241" i="1"/>
  <c r="T238" i="1"/>
  <c r="T234" i="1"/>
  <c r="T230" i="1"/>
  <c r="T227" i="1"/>
  <c r="T226" i="1"/>
  <c r="T223" i="1"/>
  <c r="T222" i="1"/>
  <c r="T214" i="1"/>
  <c r="T210" i="1"/>
  <c r="T206" i="1"/>
  <c r="T198" i="1"/>
  <c r="T194" i="1"/>
  <c r="T190" i="1"/>
  <c r="T186" i="1"/>
  <c r="T182" i="1"/>
  <c r="T179" i="1"/>
  <c r="T178" i="1"/>
  <c r="T175" i="1"/>
  <c r="T174" i="1"/>
  <c r="T166" i="1"/>
  <c r="T162" i="1"/>
  <c r="T158" i="1"/>
  <c r="T150" i="1"/>
  <c r="T140" i="1"/>
  <c r="T138" i="1"/>
  <c r="T136" i="1"/>
  <c r="T135" i="1"/>
  <c r="T134" i="1"/>
  <c r="T132" i="1"/>
  <c r="T128" i="1"/>
  <c r="T126" i="1"/>
  <c r="T124" i="1"/>
  <c r="T123" i="1"/>
  <c r="T122" i="1"/>
  <c r="T120" i="1"/>
  <c r="T118" i="1"/>
  <c r="T116" i="1"/>
  <c r="T114" i="1"/>
  <c r="T112" i="1"/>
  <c r="T111" i="1"/>
  <c r="T110" i="1"/>
  <c r="T108" i="1"/>
  <c r="T107" i="1"/>
  <c r="T106" i="1"/>
  <c r="T104" i="1"/>
  <c r="T103" i="1"/>
  <c r="T102" i="1"/>
  <c r="T100" i="1"/>
  <c r="T99" i="1"/>
  <c r="T98" i="1"/>
  <c r="T96" i="1"/>
  <c r="T95" i="1"/>
  <c r="T94" i="1"/>
  <c r="T92" i="1"/>
  <c r="T91" i="1"/>
  <c r="T90" i="1"/>
  <c r="T88" i="1"/>
  <c r="T87" i="1"/>
  <c r="T86" i="1"/>
  <c r="T84" i="1"/>
  <c r="T82" i="1"/>
  <c r="T80" i="1"/>
  <c r="T79" i="1"/>
  <c r="T78" i="1"/>
  <c r="T76" i="1"/>
  <c r="T75" i="1"/>
  <c r="T74" i="1"/>
  <c r="T72" i="1"/>
  <c r="T71" i="1"/>
  <c r="T70" i="1"/>
  <c r="T68" i="1"/>
  <c r="T67" i="1"/>
  <c r="T66" i="1"/>
  <c r="T64" i="1"/>
  <c r="T60" i="1"/>
  <c r="T59" i="1"/>
  <c r="T58" i="1"/>
  <c r="T56" i="1"/>
  <c r="T55" i="1"/>
  <c r="T54" i="1"/>
  <c r="T52" i="1"/>
  <c r="T51" i="1"/>
  <c r="T50" i="1"/>
  <c r="T48" i="1"/>
  <c r="T47" i="1"/>
  <c r="T46" i="1"/>
  <c r="T44" i="1"/>
  <c r="T43" i="1"/>
  <c r="T42" i="1"/>
  <c r="T40" i="1"/>
  <c r="T39" i="1"/>
  <c r="T38" i="1"/>
  <c r="T36" i="1"/>
  <c r="T35" i="1"/>
  <c r="T34" i="1"/>
  <c r="T32" i="1"/>
  <c r="T31" i="1"/>
  <c r="T30" i="1"/>
  <c r="T28" i="1"/>
  <c r="T27" i="1"/>
  <c r="T26" i="1"/>
  <c r="T24" i="1"/>
  <c r="T23" i="1"/>
  <c r="T22" i="1"/>
  <c r="T20" i="1"/>
  <c r="T19" i="1"/>
  <c r="T18" i="1"/>
  <c r="T16" i="1"/>
  <c r="T15" i="1"/>
  <c r="T12" i="1"/>
  <c r="T11" i="1"/>
  <c r="T10" i="1"/>
  <c r="T8" i="1"/>
  <c r="T7" i="1"/>
  <c r="T6" i="1"/>
  <c r="T4" i="1"/>
  <c r="T3" i="1"/>
  <c r="T2" i="1"/>
  <c r="T61" i="1" l="1"/>
  <c r="T208" i="1"/>
  <c r="T41" i="1"/>
  <c r="T62" i="1"/>
  <c r="T83" i="1"/>
  <c r="T215" i="1"/>
  <c r="T117" i="1"/>
  <c r="T129" i="1"/>
  <c r="T141" i="1"/>
  <c r="T147" i="1"/>
  <c r="T154" i="1"/>
  <c r="T168" i="1"/>
  <c r="T189" i="1"/>
  <c r="T195" i="1"/>
  <c r="T202" i="1"/>
  <c r="T216" i="1"/>
  <c r="T237" i="1"/>
  <c r="T77" i="1"/>
  <c r="T115" i="1"/>
  <c r="T153" i="1"/>
  <c r="T159" i="1"/>
  <c r="T180" i="1"/>
  <c r="T228" i="1"/>
  <c r="T146" i="1"/>
  <c r="T187" i="1"/>
  <c r="T57" i="1"/>
  <c r="T169" i="1"/>
  <c r="T5" i="1"/>
  <c r="T53" i="1"/>
  <c r="T85" i="1"/>
  <c r="T155" i="1"/>
  <c r="T224" i="1"/>
  <c r="T225" i="1"/>
  <c r="T113" i="1"/>
  <c r="T125" i="1"/>
  <c r="T137" i="1"/>
  <c r="T157" i="1"/>
  <c r="T163" i="1"/>
  <c r="T170" i="1"/>
  <c r="T184" i="1"/>
  <c r="T205" i="1"/>
  <c r="T211" i="1"/>
  <c r="T218" i="1"/>
  <c r="T232" i="1"/>
  <c r="T29" i="1"/>
  <c r="T221" i="1"/>
  <c r="T207" i="1"/>
  <c r="T209" i="1"/>
  <c r="T217" i="1"/>
  <c r="T69" i="1"/>
  <c r="T156" i="1"/>
  <c r="T81" i="1"/>
  <c r="T119" i="1"/>
  <c r="T131" i="1"/>
  <c r="T164" i="1"/>
  <c r="T233" i="1"/>
  <c r="T239" i="1"/>
  <c r="T13" i="1"/>
  <c r="T93" i="1"/>
  <c r="T121" i="1"/>
  <c r="T127" i="1"/>
  <c r="T139" i="1"/>
  <c r="T160" i="1"/>
  <c r="T229" i="1"/>
  <c r="T9" i="1"/>
  <c r="T14" i="1"/>
  <c r="T236" i="1"/>
  <c r="T148" i="1"/>
  <c r="T196" i="1"/>
  <c r="T37" i="1"/>
  <c r="T63" i="1"/>
  <c r="T149" i="1"/>
  <c r="T130" i="1"/>
  <c r="T142" i="1"/>
  <c r="T177" i="1"/>
  <c r="T231" i="1"/>
  <c r="T33" i="1"/>
  <c r="T49" i="1"/>
  <c r="T144" i="1"/>
  <c r="T165" i="1"/>
  <c r="T171" i="1"/>
  <c r="T192" i="1"/>
  <c r="T213" i="1"/>
  <c r="T219" i="1"/>
  <c r="T240" i="1"/>
  <c r="T45" i="1"/>
  <c r="T109" i="1"/>
  <c r="T133" i="1"/>
  <c r="T152" i="1"/>
  <c r="T173" i="1"/>
  <c r="T200" i="1"/>
  <c r="T201" i="1"/>
  <c r="T181" i="1"/>
  <c r="T235" i="1"/>
  <c r="T25" i="1"/>
  <c r="T73" i="1"/>
  <c r="T89" i="1"/>
  <c r="T105" i="1"/>
  <c r="T161" i="1"/>
  <c r="T167" i="1"/>
  <c r="T188" i="1"/>
  <c r="T21" i="1"/>
  <c r="T101" i="1"/>
  <c r="T176" i="1"/>
  <c r="T197" i="1"/>
  <c r="T203" i="1"/>
  <c r="T183" i="1"/>
  <c r="T204" i="1"/>
  <c r="T17" i="1"/>
  <c r="T65" i="1"/>
  <c r="T97" i="1"/>
  <c r="T143" i="1"/>
  <c r="T185" i="1"/>
  <c r="T191" i="1"/>
  <c r="T212" i="1"/>
  <c r="T145" i="1"/>
  <c r="T151" i="1"/>
  <c r="T172" i="1"/>
  <c r="T193" i="1"/>
  <c r="T199" i="1"/>
  <c r="T220" i="1"/>
</calcChain>
</file>

<file path=xl/sharedStrings.xml><?xml version="1.0" encoding="utf-8"?>
<sst xmlns="http://schemas.openxmlformats.org/spreadsheetml/2006/main" count="1245" uniqueCount="292">
  <si>
    <t>Customer ID</t>
  </si>
  <si>
    <t>Region</t>
  </si>
  <si>
    <t>Primary Channel</t>
  </si>
  <si>
    <t>Need State</t>
  </si>
  <si>
    <t>Preference Tier</t>
  </si>
  <si>
    <t>Age</t>
  </si>
  <si>
    <t>Annual Income (₹ lakh)</t>
  </si>
  <si>
    <t>Engagement Score (0-100)</t>
  </si>
  <si>
    <t>Digital Affinity (0-100)</t>
  </si>
  <si>
    <t>Recency (days)</t>
  </si>
  <si>
    <t>Purchase Frequency (per year)</t>
  </si>
  <si>
    <t>Avg Order Value (₹)</t>
  </si>
  <si>
    <t>Annual Spend (₹)</t>
  </si>
  <si>
    <t>Satisfaction (1-5)</t>
  </si>
  <si>
    <t>Price Sensitivity (1-5)</t>
  </si>
  <si>
    <t>Promo Response Prob</t>
  </si>
  <si>
    <t>CLV Proxy (₹)</t>
  </si>
  <si>
    <t>Segment (formula)</t>
  </si>
  <si>
    <t>Target? (Y/N)</t>
  </si>
  <si>
    <t>Offer/Message</t>
  </si>
  <si>
    <t>Segmentation Knobs</t>
  </si>
  <si>
    <t>C0001</t>
  </si>
  <si>
    <t>North</t>
  </si>
  <si>
    <t>Online</t>
  </si>
  <si>
    <t>Quality</t>
  </si>
  <si>
    <t>Value</t>
  </si>
  <si>
    <t>High Income cutoff (₹ lakh)</t>
  </si>
  <si>
    <t>C0002</t>
  </si>
  <si>
    <t>West</t>
  </si>
  <si>
    <t>Retail</t>
  </si>
  <si>
    <t>High Engagement cutoff</t>
  </si>
  <si>
    <t>C0003</t>
  </si>
  <si>
    <t>Direct Sales</t>
  </si>
  <si>
    <t>Price</t>
  </si>
  <si>
    <t>Mainstream</t>
  </si>
  <si>
    <t>High Digital cutoff</t>
  </si>
  <si>
    <t>C0004</t>
  </si>
  <si>
    <t>Convenience</t>
  </si>
  <si>
    <t>High CLV cutoff (₹)</t>
  </si>
  <si>
    <t>C0005</t>
  </si>
  <si>
    <t>South</t>
  </si>
  <si>
    <t>Partner</t>
  </si>
  <si>
    <t>C0006</t>
  </si>
  <si>
    <t>C0007</t>
  </si>
  <si>
    <t>East</t>
  </si>
  <si>
    <t>C0008</t>
  </si>
  <si>
    <t>Innovation</t>
  </si>
  <si>
    <t>C0009</t>
  </si>
  <si>
    <t>C0010</t>
  </si>
  <si>
    <t>C0011</t>
  </si>
  <si>
    <t>Premium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</si>
  <si>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</si>
  <si>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</si>
  <si>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</si>
  <si>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</si>
  <si>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</si>
  <si>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</si>
  <si>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</si>
  <si>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</si>
  <si>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</si>
  <si>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</si>
  <si>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</si>
  <si>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</si>
  <si>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</si>
  <si>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</si>
  <si>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</si>
  <si>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</si>
  <si>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</si>
  <si>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</si>
  <si>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</si>
  <si>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</si>
  <si>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</si>
  <si>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</si>
  <si>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</si>
  <si>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</si>
  <si>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</si>
  <si>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</si>
  <si>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</si>
  <si>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</si>
  <si>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</si>
  <si>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</si>
  <si>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</si>
  <si>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</si>
  <si>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</si>
  <si>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</si>
  <si>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</si>
  <si>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</si>
  <si>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</si>
  <si>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</si>
  <si>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</si>
  <si>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</si>
  <si>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</si>
  <si>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</si>
  <si>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</si>
  <si>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</si>
  <si>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</si>
  <si>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</si>
  <si>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</si>
  <si>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</si>
  <si>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</si>
  <si>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</si>
  <si>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</si>
  <si>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</si>
  <si>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</si>
  <si>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</si>
  <si>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</si>
  <si>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</si>
  <si>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</si>
  <si>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</si>
  <si>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</si>
  <si>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</si>
  <si>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</si>
  <si>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</si>
  <si>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</si>
  <si>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</si>
  <si>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</si>
  <si>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</si>
  <si>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</si>
  <si>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</si>
  <si>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</si>
  <si>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</si>
  <si>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</si>
  <si>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</si>
  <si>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</si>
  <si>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</si>
  <si>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</si>
  <si>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</si>
  <si>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</si>
  <si>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</si>
  <si>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</si>
  <si>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</si>
  <si>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</si>
  <si>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</si>
  <si>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</si>
  <si>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</si>
  <si>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</si>
  <si>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</si>
  <si>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</si>
  <si>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</si>
  <si>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</si>
  <si>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</si>
  <si>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</si>
  <si>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</si>
  <si>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</si>
  <si>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</si>
  <si>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</si>
  <si>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</si>
  <si>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</si>
  <si>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</si>
  <si>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</si>
  <si>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</si>
  <si>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</si>
  <si>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</si>
  <si>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</si>
  <si>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</si>
  <si>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</si>
  <si>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</si>
  <si>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</si>
  <si>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</si>
  <si>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</si>
  <si>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</si>
  <si>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</si>
  <si>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</si>
  <si>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</si>
  <si>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</si>
  <si>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</si>
  <si>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</si>
  <si>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</si>
  <si>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</si>
  <si>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</si>
  <si>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</si>
  <si>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</si>
  <si>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</si>
  <si>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</si>
  <si>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</si>
  <si>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</si>
  <si>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</si>
  <si>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</si>
  <si>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</si>
  <si>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</si>
  <si>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</si>
  <si>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</si>
  <si>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</si>
  <si>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</si>
  <si>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</si>
  <si>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</si>
  <si>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</si>
  <si>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</si>
  <si>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</si>
  <si>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</si>
  <si>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</si>
  <si>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</si>
  <si>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</si>
  <si>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</si>
  <si>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</si>
  <si>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</si>
  <si>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</si>
  <si>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</si>
  <si>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</si>
  <si>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</si>
  <si>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</si>
  <si>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</si>
  <si>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</si>
  <si>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</si>
  <si>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</si>
  <si>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</si>
  <si>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</si>
  <si>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</si>
  <si>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</si>
  <si>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</si>
  <si>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</si>
  <si>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</si>
  <si>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</si>
  <si>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</si>
  <si>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</si>
  <si>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</si>
  <si>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</si>
  <si>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</si>
  <si>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</si>
  <si>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</si>
  <si>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</si>
  <si>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</si>
  <si>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</si>
  <si>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</si>
  <si>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</si>
  <si>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</si>
  <si>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</si>
  <si>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</si>
  <si>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</si>
  <si>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</si>
  <si>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</si>
  <si>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</si>
  <si>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</si>
  <si>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</si>
  <si>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</si>
  <si>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</si>
  <si>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</si>
  <si>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</si>
  <si>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</si>
  <si>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</si>
  <si>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</si>
  <si>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</si>
  <si>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</si>
  <si>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</si>
  <si>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</si>
  <si>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</si>
  <si>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</si>
  <si>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</si>
  <si>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</si>
  <si>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</si>
  <si>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</si>
  <si>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</si>
  <si>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</si>
  <si>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</si>
  <si>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</si>
  <si>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</si>
  <si>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</si>
  <si>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</si>
  <si>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</si>
  <si>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</si>
  <si>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</si>
  <si>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</si>
  <si>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</si>
  <si>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</si>
  <si>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</si>
  <si>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</si>
  <si>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</si>
  <si>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</si>
  <si>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</si>
  <si>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</si>
  <si>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</si>
  <si>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</si>
  <si>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</si>
  <si>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</si>
  <si>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</si>
  <si>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</si>
  <si>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</si>
  <si>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</si>
  <si>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</si>
  <si>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</si>
  <si>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RFM Scoring (Optional)</t>
  </si>
  <si>
    <t>Frequency</t>
  </si>
  <si>
    <t>Monetary (Annual Spend)</t>
  </si>
  <si>
    <t>R Score (1-5)</t>
  </si>
  <si>
    <t>F Score (1-5)</t>
  </si>
  <si>
    <t>Recency thresholds (lower is better)</t>
  </si>
  <si>
    <t>R score</t>
  </si>
  <si>
    <t>Q1</t>
  </si>
  <si>
    <t>Q2</t>
  </si>
  <si>
    <t>Q3</t>
  </si>
  <si>
    <t>Frequency thresholds (higher is better)</t>
  </si>
  <si>
    <t>Monetary thresholds (higher is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</si>
</sst>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weta%20Sharma\Desktop\Excel%20workshop\Segmentation_Targeting_Synthetic_Data.xlsx" TargetMode="External"/><Relationship Id="rId1" Type="http://schemas.openxmlformats.org/officeDocument/2006/relationships/externalLinkPath" Target="Segmentation_Targeting_Synthetic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_Data"/>
      <sheetName val="offer message"/>
      <sheetName val="Segment formula"/>
      <sheetName val="Segmentation_Work"/>
      <sheetName val="Steps"/>
    </sheetNames>
    <sheetDataSet>
      <sheetData sheetId="0">
        <row r="2">
          <cell r="A2" t="str">
            <v>C0001</v>
          </cell>
          <cell r="J2">
            <v>55</v>
          </cell>
          <cell r="K2">
            <v>5</v>
          </cell>
          <cell r="M2">
            <v>10943</v>
          </cell>
        </row>
        <row r="3">
          <cell r="A3" t="str">
            <v>C0002</v>
          </cell>
          <cell r="J3">
            <v>62</v>
          </cell>
          <cell r="K3">
            <v>4</v>
          </cell>
          <cell r="M3">
            <v>10243</v>
          </cell>
        </row>
        <row r="4">
          <cell r="A4" t="str">
            <v>C0003</v>
          </cell>
          <cell r="J4">
            <v>4</v>
          </cell>
          <cell r="K4">
            <v>5</v>
          </cell>
          <cell r="M4">
            <v>12817</v>
          </cell>
        </row>
        <row r="5">
          <cell r="A5" t="str">
            <v>C0004</v>
          </cell>
          <cell r="J5">
            <v>72</v>
          </cell>
          <cell r="K5">
            <v>5</v>
          </cell>
          <cell r="M5">
            <v>10322</v>
          </cell>
        </row>
        <row r="6">
          <cell r="A6" t="str">
            <v>C0005</v>
          </cell>
          <cell r="J6">
            <v>27</v>
          </cell>
          <cell r="K6">
            <v>5</v>
          </cell>
          <cell r="M6">
            <v>28743</v>
          </cell>
        </row>
        <row r="7">
          <cell r="A7" t="str">
            <v>C0006</v>
          </cell>
          <cell r="J7">
            <v>49</v>
          </cell>
          <cell r="K7">
            <v>4</v>
          </cell>
          <cell r="M7">
            <v>14273</v>
          </cell>
        </row>
        <row r="8">
          <cell r="A8" t="str">
            <v>C0007</v>
          </cell>
          <cell r="J8">
            <v>2</v>
          </cell>
          <cell r="K8">
            <v>6</v>
          </cell>
          <cell r="M8">
            <v>24832</v>
          </cell>
        </row>
        <row r="9">
          <cell r="A9" t="str">
            <v>C0008</v>
          </cell>
          <cell r="J9">
            <v>32</v>
          </cell>
          <cell r="K9">
            <v>7</v>
          </cell>
          <cell r="M9">
            <v>29482</v>
          </cell>
        </row>
        <row r="10">
          <cell r="A10" t="str">
            <v>C0009</v>
          </cell>
          <cell r="J10">
            <v>55</v>
          </cell>
          <cell r="K10">
            <v>7</v>
          </cell>
          <cell r="M10">
            <v>31103</v>
          </cell>
        </row>
        <row r="11">
          <cell r="A11" t="str">
            <v>C0010</v>
          </cell>
          <cell r="J11">
            <v>71</v>
          </cell>
          <cell r="K11">
            <v>2</v>
          </cell>
          <cell r="M11">
            <v>3721</v>
          </cell>
        </row>
        <row r="12">
          <cell r="A12" t="str">
            <v>C0011</v>
          </cell>
          <cell r="J12">
            <v>14</v>
          </cell>
          <cell r="K12">
            <v>3</v>
          </cell>
          <cell r="M12">
            <v>43588</v>
          </cell>
        </row>
        <row r="13">
          <cell r="A13" t="str">
            <v>C0012</v>
          </cell>
          <cell r="J13">
            <v>25</v>
          </cell>
          <cell r="K13">
            <v>4</v>
          </cell>
          <cell r="M13">
            <v>14479</v>
          </cell>
        </row>
        <row r="14">
          <cell r="A14" t="str">
            <v>C0013</v>
          </cell>
          <cell r="J14">
            <v>44</v>
          </cell>
          <cell r="K14">
            <v>3</v>
          </cell>
          <cell r="M14">
            <v>16131</v>
          </cell>
        </row>
        <row r="15">
          <cell r="A15" t="str">
            <v>C0014</v>
          </cell>
          <cell r="J15">
            <v>33</v>
          </cell>
          <cell r="K15">
            <v>4</v>
          </cell>
          <cell r="M15">
            <v>15260</v>
          </cell>
        </row>
        <row r="16">
          <cell r="A16" t="str">
            <v>C0015</v>
          </cell>
          <cell r="J16">
            <v>48</v>
          </cell>
          <cell r="K16">
            <v>6</v>
          </cell>
          <cell r="M16">
            <v>39736</v>
          </cell>
        </row>
        <row r="17">
          <cell r="A17" t="str">
            <v>C0016</v>
          </cell>
          <cell r="J17">
            <v>54</v>
          </cell>
          <cell r="K17">
            <v>6</v>
          </cell>
          <cell r="M17">
            <v>25451</v>
          </cell>
        </row>
        <row r="18">
          <cell r="A18" t="str">
            <v>C0017</v>
          </cell>
          <cell r="J18">
            <v>27</v>
          </cell>
          <cell r="K18">
            <v>4</v>
          </cell>
          <cell r="M18">
            <v>14466</v>
          </cell>
        </row>
        <row r="19">
          <cell r="A19" t="str">
            <v>C0018</v>
          </cell>
          <cell r="J19">
            <v>75</v>
          </cell>
          <cell r="K19">
            <v>3</v>
          </cell>
          <cell r="M19">
            <v>39622</v>
          </cell>
        </row>
        <row r="20">
          <cell r="A20" t="str">
            <v>C0019</v>
          </cell>
          <cell r="J20">
            <v>56</v>
          </cell>
          <cell r="K20">
            <v>3</v>
          </cell>
          <cell r="M20">
            <v>37881</v>
          </cell>
        </row>
        <row r="21">
          <cell r="A21" t="str">
            <v>C0020</v>
          </cell>
          <cell r="J21">
            <v>2</v>
          </cell>
          <cell r="K21">
            <v>4</v>
          </cell>
          <cell r="M21">
            <v>44673</v>
          </cell>
        </row>
        <row r="22">
          <cell r="A22" t="str">
            <v>C0021</v>
          </cell>
          <cell r="J22">
            <v>20</v>
          </cell>
          <cell r="K22">
            <v>2</v>
          </cell>
          <cell r="M22">
            <v>3282</v>
          </cell>
        </row>
        <row r="23">
          <cell r="A23" t="str">
            <v>C0022</v>
          </cell>
          <cell r="J23">
            <v>2</v>
          </cell>
          <cell r="K23">
            <v>6</v>
          </cell>
          <cell r="M23">
            <v>16280</v>
          </cell>
        </row>
        <row r="24">
          <cell r="A24" t="str">
            <v>C0023</v>
          </cell>
          <cell r="J24">
            <v>2</v>
          </cell>
          <cell r="K24">
            <v>3</v>
          </cell>
          <cell r="M24">
            <v>3464</v>
          </cell>
        </row>
        <row r="25">
          <cell r="A25" t="str">
            <v>C0024</v>
          </cell>
          <cell r="J25">
            <v>20</v>
          </cell>
          <cell r="K25">
            <v>6</v>
          </cell>
          <cell r="M25">
            <v>16398</v>
          </cell>
        </row>
        <row r="26">
          <cell r="A26" t="str">
            <v>C0025</v>
          </cell>
          <cell r="J26">
            <v>20</v>
          </cell>
          <cell r="K26">
            <v>6</v>
          </cell>
          <cell r="M26">
            <v>12637</v>
          </cell>
        </row>
        <row r="27">
          <cell r="A27" t="str">
            <v>C0026</v>
          </cell>
          <cell r="J27">
            <v>43</v>
          </cell>
          <cell r="K27">
            <v>9</v>
          </cell>
          <cell r="M27">
            <v>62275</v>
          </cell>
        </row>
        <row r="28">
          <cell r="A28" t="str">
            <v>C0027</v>
          </cell>
          <cell r="J28">
            <v>9</v>
          </cell>
          <cell r="K28">
            <v>4</v>
          </cell>
          <cell r="M28">
            <v>15126</v>
          </cell>
        </row>
        <row r="29">
          <cell r="A29" t="str">
            <v>C0028</v>
          </cell>
          <cell r="J29">
            <v>71</v>
          </cell>
          <cell r="K29">
            <v>3</v>
          </cell>
          <cell r="M29">
            <v>12862</v>
          </cell>
        </row>
        <row r="30">
          <cell r="A30" t="str">
            <v>C0029</v>
          </cell>
          <cell r="J30">
            <v>67</v>
          </cell>
          <cell r="K30">
            <v>5</v>
          </cell>
          <cell r="M30">
            <v>28324</v>
          </cell>
        </row>
        <row r="31">
          <cell r="A31" t="str">
            <v>C0030</v>
          </cell>
          <cell r="J31">
            <v>54</v>
          </cell>
          <cell r="K31">
            <v>4</v>
          </cell>
          <cell r="M31">
            <v>17732</v>
          </cell>
        </row>
        <row r="32">
          <cell r="A32" t="str">
            <v>C0031</v>
          </cell>
          <cell r="J32">
            <v>36</v>
          </cell>
          <cell r="K32">
            <v>3</v>
          </cell>
          <cell r="M32">
            <v>6104</v>
          </cell>
        </row>
        <row r="33">
          <cell r="A33" t="str">
            <v>C0032</v>
          </cell>
          <cell r="J33">
            <v>2</v>
          </cell>
          <cell r="K33">
            <v>4</v>
          </cell>
          <cell r="M33">
            <v>17117</v>
          </cell>
        </row>
        <row r="34">
          <cell r="A34" t="str">
            <v>C0033</v>
          </cell>
          <cell r="J34">
            <v>11</v>
          </cell>
          <cell r="K34">
            <v>6</v>
          </cell>
          <cell r="M34">
            <v>41317</v>
          </cell>
        </row>
        <row r="35">
          <cell r="A35" t="str">
            <v>C0034</v>
          </cell>
          <cell r="J35">
            <v>26</v>
          </cell>
          <cell r="K35">
            <v>5</v>
          </cell>
          <cell r="M35">
            <v>31496</v>
          </cell>
        </row>
        <row r="36">
          <cell r="A36" t="str">
            <v>C0035</v>
          </cell>
          <cell r="J36">
            <v>27</v>
          </cell>
          <cell r="K36">
            <v>4</v>
          </cell>
          <cell r="M36">
            <v>11616</v>
          </cell>
        </row>
        <row r="37">
          <cell r="A37" t="str">
            <v>C0036</v>
          </cell>
          <cell r="J37">
            <v>20</v>
          </cell>
          <cell r="K37">
            <v>2</v>
          </cell>
          <cell r="M37">
            <v>3094</v>
          </cell>
        </row>
        <row r="38">
          <cell r="A38" t="str">
            <v>C0037</v>
          </cell>
          <cell r="J38">
            <v>13</v>
          </cell>
          <cell r="K38">
            <v>1</v>
          </cell>
          <cell r="M38">
            <v>2296</v>
          </cell>
        </row>
        <row r="39">
          <cell r="A39" t="str">
            <v>C0038</v>
          </cell>
          <cell r="J39">
            <v>44</v>
          </cell>
          <cell r="K39">
            <v>3</v>
          </cell>
          <cell r="M39">
            <v>16623</v>
          </cell>
        </row>
        <row r="40">
          <cell r="A40" t="str">
            <v>C0039</v>
          </cell>
          <cell r="J40">
            <v>30</v>
          </cell>
          <cell r="K40">
            <v>2</v>
          </cell>
          <cell r="M40">
            <v>7772</v>
          </cell>
        </row>
        <row r="41">
          <cell r="A41" t="str">
            <v>C0040</v>
          </cell>
          <cell r="J41">
            <v>52</v>
          </cell>
          <cell r="K41">
            <v>4</v>
          </cell>
          <cell r="M41">
            <v>4008</v>
          </cell>
        </row>
        <row r="42">
          <cell r="A42" t="str">
            <v>C0041</v>
          </cell>
          <cell r="J42">
            <v>2</v>
          </cell>
          <cell r="K42">
            <v>3</v>
          </cell>
          <cell r="M42">
            <v>8255</v>
          </cell>
        </row>
        <row r="43">
          <cell r="A43" t="str">
            <v>C0042</v>
          </cell>
          <cell r="J43">
            <v>23</v>
          </cell>
          <cell r="K43">
            <v>5</v>
          </cell>
          <cell r="M43">
            <v>64386</v>
          </cell>
        </row>
        <row r="44">
          <cell r="A44" t="str">
            <v>C0043</v>
          </cell>
          <cell r="J44">
            <v>2</v>
          </cell>
          <cell r="K44">
            <v>5</v>
          </cell>
          <cell r="M44">
            <v>17600</v>
          </cell>
        </row>
        <row r="45">
          <cell r="A45" t="str">
            <v>C0044</v>
          </cell>
          <cell r="J45">
            <v>10</v>
          </cell>
          <cell r="K45">
            <v>3</v>
          </cell>
          <cell r="M45">
            <v>14093</v>
          </cell>
        </row>
        <row r="46">
          <cell r="A46" t="str">
            <v>C0045</v>
          </cell>
          <cell r="J46">
            <v>4</v>
          </cell>
          <cell r="K46">
            <v>4</v>
          </cell>
          <cell r="M46">
            <v>34647</v>
          </cell>
        </row>
        <row r="47">
          <cell r="A47" t="str">
            <v>C0046</v>
          </cell>
          <cell r="J47">
            <v>22</v>
          </cell>
          <cell r="K47">
            <v>3</v>
          </cell>
          <cell r="M47">
            <v>11630</v>
          </cell>
        </row>
        <row r="48">
          <cell r="A48" t="str">
            <v>C0047</v>
          </cell>
          <cell r="J48">
            <v>6</v>
          </cell>
          <cell r="K48">
            <v>6</v>
          </cell>
          <cell r="M48">
            <v>20879</v>
          </cell>
        </row>
        <row r="49">
          <cell r="A49" t="str">
            <v>C0048</v>
          </cell>
          <cell r="J49">
            <v>23</v>
          </cell>
          <cell r="K49">
            <v>4</v>
          </cell>
          <cell r="M49">
            <v>19912</v>
          </cell>
        </row>
        <row r="50">
          <cell r="A50" t="str">
            <v>C0049</v>
          </cell>
          <cell r="J50">
            <v>2</v>
          </cell>
          <cell r="K50">
            <v>3</v>
          </cell>
          <cell r="M50">
            <v>17466</v>
          </cell>
        </row>
        <row r="51">
          <cell r="A51" t="str">
            <v>C0050</v>
          </cell>
          <cell r="J51">
            <v>16</v>
          </cell>
          <cell r="K51">
            <v>4</v>
          </cell>
          <cell r="M51">
            <v>12060</v>
          </cell>
        </row>
        <row r="52">
          <cell r="A52" t="str">
            <v>C0051</v>
          </cell>
          <cell r="J52">
            <v>45</v>
          </cell>
          <cell r="K52">
            <v>5</v>
          </cell>
          <cell r="M52">
            <v>67494</v>
          </cell>
        </row>
        <row r="53">
          <cell r="A53" t="str">
            <v>C0052</v>
          </cell>
          <cell r="J53">
            <v>47</v>
          </cell>
          <cell r="K53">
            <v>4</v>
          </cell>
          <cell r="M53">
            <v>5223</v>
          </cell>
        </row>
        <row r="54">
          <cell r="A54" t="str">
            <v>C0053</v>
          </cell>
          <cell r="J54">
            <v>2</v>
          </cell>
          <cell r="K54">
            <v>2</v>
          </cell>
          <cell r="M54">
            <v>44617</v>
          </cell>
        </row>
        <row r="55">
          <cell r="A55" t="str">
            <v>C0054</v>
          </cell>
          <cell r="J55">
            <v>2</v>
          </cell>
          <cell r="K55">
            <v>6</v>
          </cell>
          <cell r="M55">
            <v>26548</v>
          </cell>
        </row>
        <row r="56">
          <cell r="A56" t="str">
            <v>C0055</v>
          </cell>
          <cell r="J56">
            <v>18</v>
          </cell>
          <cell r="K56">
            <v>4</v>
          </cell>
          <cell r="M56">
            <v>58643</v>
          </cell>
        </row>
        <row r="57">
          <cell r="A57" t="str">
            <v>C0056</v>
          </cell>
          <cell r="J57">
            <v>34</v>
          </cell>
          <cell r="K57">
            <v>3</v>
          </cell>
          <cell r="M57">
            <v>10876</v>
          </cell>
        </row>
        <row r="58">
          <cell r="A58" t="str">
            <v>C0057</v>
          </cell>
          <cell r="J58">
            <v>54</v>
          </cell>
          <cell r="K58">
            <v>3</v>
          </cell>
          <cell r="M58">
            <v>9500</v>
          </cell>
        </row>
        <row r="59">
          <cell r="A59" t="str">
            <v>C0058</v>
          </cell>
          <cell r="J59">
            <v>26</v>
          </cell>
          <cell r="K59">
            <v>4</v>
          </cell>
          <cell r="M59">
            <v>17669</v>
          </cell>
        </row>
        <row r="60">
          <cell r="A60" t="str">
            <v>C0059</v>
          </cell>
          <cell r="J60">
            <v>21</v>
          </cell>
          <cell r="K60">
            <v>5</v>
          </cell>
          <cell r="M60">
            <v>22493</v>
          </cell>
        </row>
        <row r="61">
          <cell r="A61" t="str">
            <v>C0060</v>
          </cell>
          <cell r="J61">
            <v>49</v>
          </cell>
          <cell r="K61">
            <v>3</v>
          </cell>
          <cell r="M61">
            <v>4598</v>
          </cell>
        </row>
        <row r="62">
          <cell r="A62" t="str">
            <v>C0061</v>
          </cell>
          <cell r="J62">
            <v>25</v>
          </cell>
          <cell r="K62">
            <v>2</v>
          </cell>
          <cell r="M62">
            <v>43819</v>
          </cell>
        </row>
        <row r="63">
          <cell r="A63" t="str">
            <v>C0062</v>
          </cell>
          <cell r="J63">
            <v>2</v>
          </cell>
          <cell r="K63">
            <v>4</v>
          </cell>
          <cell r="M63">
            <v>15822</v>
          </cell>
        </row>
        <row r="64">
          <cell r="A64" t="str">
            <v>C0063</v>
          </cell>
          <cell r="J64">
            <v>37</v>
          </cell>
          <cell r="K64">
            <v>6</v>
          </cell>
          <cell r="M64">
            <v>15723</v>
          </cell>
        </row>
        <row r="65">
          <cell r="A65" t="str">
            <v>C0064</v>
          </cell>
          <cell r="J65">
            <v>33</v>
          </cell>
          <cell r="K65">
            <v>2</v>
          </cell>
          <cell r="M65">
            <v>27806</v>
          </cell>
        </row>
        <row r="66">
          <cell r="A66" t="str">
            <v>C0065</v>
          </cell>
          <cell r="J66">
            <v>86</v>
          </cell>
          <cell r="K66">
            <v>3</v>
          </cell>
          <cell r="M66">
            <v>5772</v>
          </cell>
        </row>
        <row r="67">
          <cell r="A67" t="str">
            <v>C0066</v>
          </cell>
          <cell r="J67">
            <v>34</v>
          </cell>
          <cell r="K67">
            <v>3</v>
          </cell>
          <cell r="M67">
            <v>9465</v>
          </cell>
        </row>
        <row r="68">
          <cell r="A68" t="str">
            <v>C0067</v>
          </cell>
          <cell r="J68">
            <v>60</v>
          </cell>
          <cell r="K68">
            <v>4</v>
          </cell>
          <cell r="M68">
            <v>9195</v>
          </cell>
        </row>
        <row r="69">
          <cell r="A69" t="str">
            <v>C0068</v>
          </cell>
          <cell r="J69">
            <v>65</v>
          </cell>
          <cell r="K69">
            <v>6</v>
          </cell>
          <cell r="M69">
            <v>90445</v>
          </cell>
        </row>
        <row r="70">
          <cell r="A70" t="str">
            <v>C0069</v>
          </cell>
          <cell r="J70">
            <v>2</v>
          </cell>
          <cell r="K70">
            <v>3</v>
          </cell>
          <cell r="M70">
            <v>16489</v>
          </cell>
        </row>
        <row r="71">
          <cell r="A71" t="str">
            <v>C0070</v>
          </cell>
          <cell r="J71">
            <v>54</v>
          </cell>
          <cell r="K71">
            <v>3</v>
          </cell>
          <cell r="M71">
            <v>17574</v>
          </cell>
        </row>
        <row r="72">
          <cell r="A72" t="str">
            <v>C0071</v>
          </cell>
          <cell r="J72">
            <v>66</v>
          </cell>
          <cell r="K72">
            <v>3</v>
          </cell>
          <cell r="M72">
            <v>31836</v>
          </cell>
        </row>
        <row r="73">
          <cell r="A73" t="str">
            <v>C0072</v>
          </cell>
          <cell r="J73">
            <v>17</v>
          </cell>
          <cell r="K73">
            <v>4</v>
          </cell>
          <cell r="M73">
            <v>9368</v>
          </cell>
        </row>
        <row r="74">
          <cell r="A74" t="str">
            <v>C0073</v>
          </cell>
          <cell r="J74">
            <v>2</v>
          </cell>
          <cell r="K74">
            <v>6</v>
          </cell>
          <cell r="M74">
            <v>11871</v>
          </cell>
        </row>
        <row r="75">
          <cell r="A75" t="str">
            <v>C0074</v>
          </cell>
          <cell r="J75">
            <v>28</v>
          </cell>
          <cell r="K75">
            <v>4</v>
          </cell>
          <cell r="M75">
            <v>11755</v>
          </cell>
        </row>
        <row r="76">
          <cell r="A76" t="str">
            <v>C0075</v>
          </cell>
          <cell r="J76">
            <v>22</v>
          </cell>
          <cell r="K76">
            <v>5</v>
          </cell>
          <cell r="M76">
            <v>34839</v>
          </cell>
        </row>
        <row r="77">
          <cell r="A77" t="str">
            <v>C0076</v>
          </cell>
          <cell r="J77">
            <v>24</v>
          </cell>
          <cell r="K77">
            <v>6</v>
          </cell>
          <cell r="M77">
            <v>110726</v>
          </cell>
        </row>
        <row r="78">
          <cell r="A78" t="str">
            <v>C0077</v>
          </cell>
          <cell r="J78">
            <v>27</v>
          </cell>
          <cell r="K78">
            <v>7</v>
          </cell>
          <cell r="M78">
            <v>21030</v>
          </cell>
        </row>
        <row r="79">
          <cell r="A79" t="str">
            <v>C0078</v>
          </cell>
          <cell r="J79">
            <v>15</v>
          </cell>
          <cell r="K79">
            <v>6</v>
          </cell>
          <cell r="M79">
            <v>52366</v>
          </cell>
        </row>
        <row r="80">
          <cell r="A80" t="str">
            <v>C0079</v>
          </cell>
          <cell r="J80">
            <v>14</v>
          </cell>
          <cell r="K80">
            <v>3</v>
          </cell>
          <cell r="M80">
            <v>6376</v>
          </cell>
        </row>
        <row r="81">
          <cell r="A81" t="str">
            <v>C0080</v>
          </cell>
          <cell r="J81">
            <v>31</v>
          </cell>
          <cell r="K81">
            <v>6</v>
          </cell>
          <cell r="M81">
            <v>18313</v>
          </cell>
        </row>
        <row r="82">
          <cell r="A82" t="str">
            <v>C0081</v>
          </cell>
          <cell r="J82">
            <v>23</v>
          </cell>
          <cell r="K82">
            <v>5</v>
          </cell>
          <cell r="M82">
            <v>12780</v>
          </cell>
        </row>
        <row r="83">
          <cell r="A83" t="str">
            <v>C0082</v>
          </cell>
          <cell r="J83">
            <v>28</v>
          </cell>
          <cell r="K83">
            <v>4</v>
          </cell>
          <cell r="M83">
            <v>76074</v>
          </cell>
        </row>
        <row r="84">
          <cell r="A84" t="str">
            <v>C0083</v>
          </cell>
          <cell r="J84">
            <v>57</v>
          </cell>
          <cell r="K84">
            <v>5</v>
          </cell>
          <cell r="M84">
            <v>84460</v>
          </cell>
        </row>
        <row r="85">
          <cell r="A85" t="str">
            <v>C0084</v>
          </cell>
          <cell r="J85">
            <v>32</v>
          </cell>
          <cell r="K85">
            <v>3</v>
          </cell>
          <cell r="M85">
            <v>16787</v>
          </cell>
        </row>
        <row r="86">
          <cell r="A86" t="str">
            <v>C0085</v>
          </cell>
          <cell r="J86">
            <v>29</v>
          </cell>
          <cell r="K86">
            <v>5</v>
          </cell>
          <cell r="M86">
            <v>43412</v>
          </cell>
        </row>
        <row r="87">
          <cell r="A87" t="str">
            <v>C0086</v>
          </cell>
          <cell r="J87">
            <v>42</v>
          </cell>
          <cell r="K87">
            <v>4</v>
          </cell>
          <cell r="M87">
            <v>21317</v>
          </cell>
        </row>
        <row r="88">
          <cell r="A88" t="str">
            <v>C0087</v>
          </cell>
          <cell r="J88">
            <v>68</v>
          </cell>
          <cell r="K88">
            <v>6</v>
          </cell>
          <cell r="M88">
            <v>41453</v>
          </cell>
        </row>
        <row r="89">
          <cell r="A89" t="str">
            <v>C0088</v>
          </cell>
          <cell r="J89">
            <v>57</v>
          </cell>
          <cell r="K89">
            <v>6</v>
          </cell>
          <cell r="M89">
            <v>22372</v>
          </cell>
        </row>
        <row r="90">
          <cell r="A90" t="str">
            <v>C0089</v>
          </cell>
          <cell r="J90">
            <v>2</v>
          </cell>
          <cell r="K90">
            <v>4</v>
          </cell>
          <cell r="M90">
            <v>25989</v>
          </cell>
        </row>
        <row r="91">
          <cell r="A91" t="str">
            <v>C0090</v>
          </cell>
          <cell r="J91">
            <v>71</v>
          </cell>
          <cell r="K91">
            <v>5</v>
          </cell>
          <cell r="M91">
            <v>8409</v>
          </cell>
        </row>
        <row r="92">
          <cell r="A92" t="str">
            <v>C0091</v>
          </cell>
          <cell r="J92">
            <v>23</v>
          </cell>
          <cell r="K92">
            <v>7</v>
          </cell>
          <cell r="M92">
            <v>11896</v>
          </cell>
        </row>
        <row r="93">
          <cell r="A93" t="str">
            <v>C0092</v>
          </cell>
          <cell r="J93">
            <v>2</v>
          </cell>
          <cell r="K93">
            <v>5</v>
          </cell>
          <cell r="M93">
            <v>9222</v>
          </cell>
        </row>
        <row r="94">
          <cell r="A94" t="str">
            <v>C0093</v>
          </cell>
          <cell r="J94">
            <v>2</v>
          </cell>
          <cell r="K94">
            <v>4</v>
          </cell>
          <cell r="M94">
            <v>23266</v>
          </cell>
        </row>
        <row r="95">
          <cell r="A95" t="str">
            <v>C0094</v>
          </cell>
          <cell r="J95">
            <v>24</v>
          </cell>
          <cell r="K95">
            <v>3</v>
          </cell>
          <cell r="M95">
            <v>14694</v>
          </cell>
        </row>
        <row r="96">
          <cell r="A96" t="str">
            <v>C0095</v>
          </cell>
          <cell r="J96">
            <v>2</v>
          </cell>
          <cell r="K96">
            <v>5</v>
          </cell>
          <cell r="M96">
            <v>27740</v>
          </cell>
        </row>
        <row r="97">
          <cell r="A97" t="str">
            <v>C0096</v>
          </cell>
          <cell r="J97">
            <v>28</v>
          </cell>
          <cell r="K97">
            <v>6</v>
          </cell>
          <cell r="M97">
            <v>34473</v>
          </cell>
        </row>
        <row r="98">
          <cell r="A98" t="str">
            <v>C0097</v>
          </cell>
          <cell r="J98">
            <v>49</v>
          </cell>
          <cell r="K98">
            <v>3</v>
          </cell>
          <cell r="M98">
            <v>20926</v>
          </cell>
        </row>
        <row r="99">
          <cell r="A99" t="str">
            <v>C0098</v>
          </cell>
          <cell r="J99">
            <v>4</v>
          </cell>
          <cell r="K99">
            <v>3</v>
          </cell>
          <cell r="M99">
            <v>18073</v>
          </cell>
        </row>
        <row r="100">
          <cell r="A100" t="str">
            <v>C0099</v>
          </cell>
          <cell r="J100">
            <v>42</v>
          </cell>
          <cell r="K100">
            <v>5</v>
          </cell>
          <cell r="M100">
            <v>126182</v>
          </cell>
        </row>
        <row r="101">
          <cell r="A101" t="str">
            <v>C0100</v>
          </cell>
          <cell r="J101">
            <v>37</v>
          </cell>
          <cell r="K101">
            <v>3</v>
          </cell>
          <cell r="M101">
            <v>18530</v>
          </cell>
        </row>
        <row r="102">
          <cell r="A102" t="str">
            <v>C0101</v>
          </cell>
          <cell r="J102">
            <v>59</v>
          </cell>
          <cell r="K102">
            <v>3</v>
          </cell>
          <cell r="M102">
            <v>15694</v>
          </cell>
        </row>
        <row r="103">
          <cell r="A103" t="str">
            <v>C0102</v>
          </cell>
          <cell r="J103">
            <v>11</v>
          </cell>
          <cell r="K103">
            <v>7</v>
          </cell>
          <cell r="M103">
            <v>30330</v>
          </cell>
        </row>
        <row r="104">
          <cell r="A104" t="str">
            <v>C0103</v>
          </cell>
          <cell r="J104">
            <v>45</v>
          </cell>
          <cell r="K104">
            <v>6</v>
          </cell>
          <cell r="M104">
            <v>38566</v>
          </cell>
        </row>
        <row r="105">
          <cell r="A105" t="str">
            <v>C0104</v>
          </cell>
          <cell r="J105">
            <v>76</v>
          </cell>
          <cell r="K105">
            <v>5</v>
          </cell>
          <cell r="M105">
            <v>11294</v>
          </cell>
        </row>
        <row r="106">
          <cell r="A106" t="str">
            <v>C0105</v>
          </cell>
          <cell r="J106">
            <v>30</v>
          </cell>
          <cell r="K106">
            <v>5</v>
          </cell>
          <cell r="M106">
            <v>33843</v>
          </cell>
        </row>
        <row r="107">
          <cell r="A107" t="str">
            <v>C0106</v>
          </cell>
          <cell r="J107">
            <v>67</v>
          </cell>
          <cell r="K107">
            <v>3</v>
          </cell>
          <cell r="M107">
            <v>4170</v>
          </cell>
        </row>
        <row r="108">
          <cell r="A108" t="str">
            <v>C0107</v>
          </cell>
          <cell r="J108">
            <v>3</v>
          </cell>
          <cell r="K108">
            <v>1</v>
          </cell>
          <cell r="M108">
            <v>2235</v>
          </cell>
        </row>
        <row r="109">
          <cell r="A109" t="str">
            <v>C0108</v>
          </cell>
          <cell r="J109">
            <v>24</v>
          </cell>
          <cell r="K109">
            <v>6</v>
          </cell>
          <cell r="M109">
            <v>22591</v>
          </cell>
        </row>
        <row r="110">
          <cell r="A110" t="str">
            <v>C0109</v>
          </cell>
          <cell r="J110">
            <v>61</v>
          </cell>
          <cell r="K110">
            <v>7</v>
          </cell>
          <cell r="M110">
            <v>16627</v>
          </cell>
        </row>
        <row r="111">
          <cell r="A111" t="str">
            <v>C0110</v>
          </cell>
          <cell r="J111">
            <v>31</v>
          </cell>
          <cell r="K111">
            <v>5</v>
          </cell>
          <cell r="M111">
            <v>32775</v>
          </cell>
        </row>
        <row r="112">
          <cell r="A112" t="str">
            <v>C0111</v>
          </cell>
          <cell r="J112">
            <v>46</v>
          </cell>
          <cell r="K112">
            <v>4</v>
          </cell>
          <cell r="M112">
            <v>10062</v>
          </cell>
        </row>
        <row r="113">
          <cell r="A113" t="str">
            <v>C0112</v>
          </cell>
          <cell r="J113">
            <v>25</v>
          </cell>
          <cell r="K113">
            <v>6</v>
          </cell>
          <cell r="M113">
            <v>34403</v>
          </cell>
        </row>
        <row r="114">
          <cell r="A114" t="str">
            <v>C0113</v>
          </cell>
          <cell r="J114">
            <v>22</v>
          </cell>
          <cell r="K114">
            <v>4</v>
          </cell>
          <cell r="M114">
            <v>17612</v>
          </cell>
        </row>
        <row r="115">
          <cell r="A115" t="str">
            <v>C0114</v>
          </cell>
          <cell r="J115">
            <v>53</v>
          </cell>
          <cell r="K115">
            <v>3</v>
          </cell>
          <cell r="M115">
            <v>8329</v>
          </cell>
        </row>
        <row r="116">
          <cell r="A116" t="str">
            <v>C0115</v>
          </cell>
          <cell r="J116">
            <v>52</v>
          </cell>
          <cell r="K116">
            <v>4</v>
          </cell>
          <cell r="M116">
            <v>7302</v>
          </cell>
        </row>
        <row r="117">
          <cell r="A117" t="str">
            <v>C0116</v>
          </cell>
          <cell r="J117">
            <v>56</v>
          </cell>
          <cell r="K117">
            <v>4</v>
          </cell>
          <cell r="M117">
            <v>17641</v>
          </cell>
        </row>
        <row r="118">
          <cell r="A118" t="str">
            <v>C0117</v>
          </cell>
          <cell r="J118">
            <v>2</v>
          </cell>
          <cell r="K118">
            <v>6</v>
          </cell>
          <cell r="M118">
            <v>22448</v>
          </cell>
        </row>
        <row r="119">
          <cell r="A119" t="str">
            <v>C0118</v>
          </cell>
          <cell r="J119">
            <v>2</v>
          </cell>
          <cell r="K119">
            <v>7</v>
          </cell>
          <cell r="M119">
            <v>53242</v>
          </cell>
        </row>
        <row r="120">
          <cell r="A120" t="str">
            <v>C0119</v>
          </cell>
          <cell r="J120">
            <v>33</v>
          </cell>
          <cell r="K120">
            <v>5</v>
          </cell>
          <cell r="M120">
            <v>67897</v>
          </cell>
        </row>
        <row r="121">
          <cell r="A121" t="str">
            <v>C0120</v>
          </cell>
          <cell r="J121">
            <v>42</v>
          </cell>
          <cell r="K121">
            <v>2</v>
          </cell>
          <cell r="M121">
            <v>9687</v>
          </cell>
        </row>
        <row r="122">
          <cell r="A122" t="str">
            <v>C0121</v>
          </cell>
          <cell r="J122">
            <v>41</v>
          </cell>
          <cell r="K122">
            <v>4</v>
          </cell>
          <cell r="M122">
            <v>26108</v>
          </cell>
        </row>
        <row r="123">
          <cell r="A123" t="str">
            <v>C0122</v>
          </cell>
          <cell r="J123">
            <v>21</v>
          </cell>
          <cell r="K123">
            <v>4</v>
          </cell>
          <cell r="M123">
            <v>10972</v>
          </cell>
        </row>
        <row r="124">
          <cell r="A124" t="str">
            <v>C0123</v>
          </cell>
          <cell r="J124">
            <v>11</v>
          </cell>
          <cell r="K124">
            <v>3</v>
          </cell>
          <cell r="M124">
            <v>12908</v>
          </cell>
        </row>
        <row r="125">
          <cell r="A125" t="str">
            <v>C0124</v>
          </cell>
          <cell r="J125">
            <v>8</v>
          </cell>
          <cell r="K125">
            <v>5</v>
          </cell>
          <cell r="M125">
            <v>67523</v>
          </cell>
        </row>
        <row r="126">
          <cell r="A126" t="str">
            <v>C0125</v>
          </cell>
          <cell r="J126">
            <v>26</v>
          </cell>
          <cell r="K126">
            <v>5</v>
          </cell>
          <cell r="M126">
            <v>10468</v>
          </cell>
        </row>
        <row r="127">
          <cell r="A127" t="str">
            <v>C0126</v>
          </cell>
          <cell r="J127">
            <v>29</v>
          </cell>
          <cell r="K127">
            <v>5</v>
          </cell>
          <cell r="M127">
            <v>7195</v>
          </cell>
        </row>
        <row r="128">
          <cell r="A128" t="str">
            <v>C0127</v>
          </cell>
          <cell r="J128">
            <v>40</v>
          </cell>
          <cell r="K128">
            <v>4</v>
          </cell>
          <cell r="M128">
            <v>74201</v>
          </cell>
        </row>
        <row r="129">
          <cell r="A129" t="str">
            <v>C0128</v>
          </cell>
          <cell r="J129">
            <v>32</v>
          </cell>
          <cell r="K129">
            <v>4</v>
          </cell>
          <cell r="M129">
            <v>11691</v>
          </cell>
        </row>
        <row r="130">
          <cell r="A130" t="str">
            <v>C0129</v>
          </cell>
          <cell r="J130">
            <v>54</v>
          </cell>
          <cell r="K130">
            <v>7</v>
          </cell>
          <cell r="M130">
            <v>53498</v>
          </cell>
        </row>
        <row r="131">
          <cell r="A131" t="str">
            <v>C0130</v>
          </cell>
          <cell r="J131">
            <v>2</v>
          </cell>
          <cell r="K131">
            <v>6</v>
          </cell>
          <cell r="M131">
            <v>26438</v>
          </cell>
        </row>
        <row r="132">
          <cell r="A132" t="str">
            <v>C0131</v>
          </cell>
          <cell r="J132">
            <v>46</v>
          </cell>
          <cell r="K132">
            <v>4</v>
          </cell>
          <cell r="M132">
            <v>26000</v>
          </cell>
        </row>
        <row r="133">
          <cell r="A133" t="str">
            <v>C0132</v>
          </cell>
          <cell r="J133">
            <v>31</v>
          </cell>
          <cell r="K133">
            <v>6</v>
          </cell>
          <cell r="M133">
            <v>13921</v>
          </cell>
        </row>
        <row r="134">
          <cell r="A134" t="str">
            <v>C0133</v>
          </cell>
          <cell r="J134">
            <v>23</v>
          </cell>
          <cell r="K134">
            <v>4</v>
          </cell>
          <cell r="M134">
            <v>13642</v>
          </cell>
        </row>
        <row r="135">
          <cell r="A135" t="str">
            <v>C0134</v>
          </cell>
          <cell r="J135">
            <v>26</v>
          </cell>
          <cell r="K135">
            <v>6</v>
          </cell>
          <cell r="M135">
            <v>8618</v>
          </cell>
        </row>
        <row r="136">
          <cell r="A136" t="str">
            <v>C0135</v>
          </cell>
          <cell r="J136">
            <v>65</v>
          </cell>
          <cell r="K136">
            <v>3</v>
          </cell>
          <cell r="M136">
            <v>15407</v>
          </cell>
        </row>
        <row r="137">
          <cell r="A137" t="str">
            <v>C0136</v>
          </cell>
          <cell r="J137">
            <v>28</v>
          </cell>
          <cell r="K137">
            <v>4</v>
          </cell>
          <cell r="M137">
            <v>61395</v>
          </cell>
        </row>
        <row r="138">
          <cell r="A138" t="str">
            <v>C0137</v>
          </cell>
          <cell r="J138">
            <v>20</v>
          </cell>
          <cell r="K138">
            <v>4</v>
          </cell>
          <cell r="M138">
            <v>27078</v>
          </cell>
        </row>
        <row r="139">
          <cell r="A139" t="str">
            <v>C0138</v>
          </cell>
          <cell r="J139">
            <v>19</v>
          </cell>
          <cell r="K139">
            <v>6</v>
          </cell>
          <cell r="M139">
            <v>12921</v>
          </cell>
        </row>
        <row r="140">
          <cell r="A140" t="str">
            <v>C0139</v>
          </cell>
          <cell r="J140">
            <v>62</v>
          </cell>
          <cell r="K140">
            <v>6</v>
          </cell>
          <cell r="M140">
            <v>18745</v>
          </cell>
        </row>
        <row r="141">
          <cell r="A141" t="str">
            <v>C0140</v>
          </cell>
          <cell r="J141">
            <v>56</v>
          </cell>
          <cell r="K141">
            <v>4</v>
          </cell>
          <cell r="M141">
            <v>16279</v>
          </cell>
        </row>
        <row r="142">
          <cell r="A142" t="str">
            <v>C0141</v>
          </cell>
          <cell r="J142">
            <v>26</v>
          </cell>
          <cell r="K142">
            <v>3</v>
          </cell>
          <cell r="M142">
            <v>4036</v>
          </cell>
        </row>
        <row r="143">
          <cell r="A143" t="str">
            <v>C0142</v>
          </cell>
          <cell r="J143">
            <v>19</v>
          </cell>
          <cell r="K143">
            <v>3</v>
          </cell>
          <cell r="M143">
            <v>54268</v>
          </cell>
        </row>
        <row r="144">
          <cell r="A144" t="str">
            <v>C0143</v>
          </cell>
          <cell r="J144">
            <v>2</v>
          </cell>
          <cell r="K144">
            <v>4</v>
          </cell>
          <cell r="M144">
            <v>9765</v>
          </cell>
        </row>
        <row r="145">
          <cell r="A145" t="str">
            <v>C0144</v>
          </cell>
          <cell r="J145">
            <v>2</v>
          </cell>
          <cell r="K145">
            <v>5</v>
          </cell>
          <cell r="M145">
            <v>40715</v>
          </cell>
        </row>
        <row r="146">
          <cell r="A146" t="str">
            <v>C0145</v>
          </cell>
          <cell r="J146">
            <v>34</v>
          </cell>
          <cell r="K146">
            <v>6</v>
          </cell>
          <cell r="M146">
            <v>31044</v>
          </cell>
        </row>
        <row r="147">
          <cell r="A147" t="str">
            <v>C0146</v>
          </cell>
          <cell r="J147">
            <v>2</v>
          </cell>
          <cell r="K147">
            <v>5</v>
          </cell>
          <cell r="M147">
            <v>26397</v>
          </cell>
        </row>
        <row r="148">
          <cell r="A148" t="str">
            <v>C0147</v>
          </cell>
          <cell r="J148">
            <v>2</v>
          </cell>
          <cell r="K148">
            <v>6</v>
          </cell>
          <cell r="M148">
            <v>25244</v>
          </cell>
        </row>
        <row r="149">
          <cell r="A149" t="str">
            <v>C0148</v>
          </cell>
          <cell r="J149">
            <v>52</v>
          </cell>
          <cell r="K149">
            <v>4</v>
          </cell>
          <cell r="M149">
            <v>23823</v>
          </cell>
        </row>
        <row r="150">
          <cell r="A150" t="str">
            <v>C0149</v>
          </cell>
          <cell r="J150">
            <v>2</v>
          </cell>
          <cell r="K150">
            <v>3</v>
          </cell>
          <cell r="M150">
            <v>17139</v>
          </cell>
        </row>
        <row r="151">
          <cell r="A151" t="str">
            <v>C0150</v>
          </cell>
          <cell r="J151">
            <v>25</v>
          </cell>
          <cell r="K151">
            <v>3</v>
          </cell>
          <cell r="M151">
            <v>10570</v>
          </cell>
        </row>
        <row r="152">
          <cell r="A152" t="str">
            <v>C0151</v>
          </cell>
          <cell r="J152">
            <v>2</v>
          </cell>
          <cell r="K152">
            <v>4</v>
          </cell>
          <cell r="M152">
            <v>16374</v>
          </cell>
        </row>
        <row r="153">
          <cell r="A153" t="str">
            <v>C0152</v>
          </cell>
          <cell r="J153">
            <v>22</v>
          </cell>
          <cell r="K153">
            <v>4</v>
          </cell>
          <cell r="M153">
            <v>28858</v>
          </cell>
        </row>
        <row r="154">
          <cell r="A154" t="str">
            <v>C0153</v>
          </cell>
          <cell r="J154">
            <v>59</v>
          </cell>
          <cell r="K154">
            <v>4</v>
          </cell>
          <cell r="M154">
            <v>62397</v>
          </cell>
        </row>
        <row r="155">
          <cell r="A155" t="str">
            <v>C0154</v>
          </cell>
          <cell r="J155">
            <v>37</v>
          </cell>
          <cell r="K155">
            <v>6</v>
          </cell>
          <cell r="M155">
            <v>13378</v>
          </cell>
        </row>
        <row r="156">
          <cell r="A156" t="str">
            <v>C0155</v>
          </cell>
          <cell r="J156">
            <v>2</v>
          </cell>
          <cell r="K156">
            <v>8</v>
          </cell>
          <cell r="M156">
            <v>30552</v>
          </cell>
        </row>
        <row r="157">
          <cell r="A157" t="str">
            <v>C0156</v>
          </cell>
          <cell r="J157">
            <v>31</v>
          </cell>
          <cell r="K157">
            <v>6</v>
          </cell>
          <cell r="M157">
            <v>66845</v>
          </cell>
        </row>
        <row r="158">
          <cell r="A158" t="str">
            <v>C0157</v>
          </cell>
          <cell r="J158">
            <v>40</v>
          </cell>
          <cell r="K158">
            <v>8</v>
          </cell>
          <cell r="M158">
            <v>47182</v>
          </cell>
        </row>
        <row r="159">
          <cell r="A159" t="str">
            <v>C0158</v>
          </cell>
          <cell r="J159">
            <v>2</v>
          </cell>
          <cell r="K159">
            <v>5</v>
          </cell>
          <cell r="M159">
            <v>13936</v>
          </cell>
        </row>
        <row r="160">
          <cell r="A160" t="str">
            <v>C0159</v>
          </cell>
          <cell r="J160">
            <v>34</v>
          </cell>
          <cell r="K160">
            <v>5</v>
          </cell>
          <cell r="M160">
            <v>45915</v>
          </cell>
        </row>
        <row r="161">
          <cell r="A161" t="str">
            <v>C0160</v>
          </cell>
          <cell r="J161">
            <v>45</v>
          </cell>
          <cell r="K161">
            <v>5</v>
          </cell>
          <cell r="M161">
            <v>15878</v>
          </cell>
        </row>
        <row r="162">
          <cell r="A162" t="str">
            <v>C0161</v>
          </cell>
          <cell r="J162">
            <v>63</v>
          </cell>
          <cell r="K162">
            <v>3</v>
          </cell>
          <cell r="M162">
            <v>17768</v>
          </cell>
        </row>
        <row r="163">
          <cell r="A163" t="str">
            <v>C0162</v>
          </cell>
          <cell r="J163">
            <v>48</v>
          </cell>
          <cell r="K163">
            <v>5</v>
          </cell>
          <cell r="M163">
            <v>8897</v>
          </cell>
        </row>
        <row r="164">
          <cell r="A164" t="str">
            <v>C0163</v>
          </cell>
          <cell r="J164">
            <v>24</v>
          </cell>
          <cell r="K164">
            <v>9</v>
          </cell>
          <cell r="M164">
            <v>69218</v>
          </cell>
        </row>
        <row r="165">
          <cell r="A165" t="str">
            <v>C0164</v>
          </cell>
          <cell r="J165">
            <v>25</v>
          </cell>
          <cell r="K165">
            <v>4</v>
          </cell>
          <cell r="M165">
            <v>17183</v>
          </cell>
        </row>
        <row r="166">
          <cell r="A166" t="str">
            <v>C0165</v>
          </cell>
          <cell r="J166">
            <v>41</v>
          </cell>
          <cell r="K166">
            <v>7</v>
          </cell>
          <cell r="M166">
            <v>114874</v>
          </cell>
        </row>
        <row r="167">
          <cell r="A167" t="str">
            <v>C0166</v>
          </cell>
          <cell r="J167">
            <v>43</v>
          </cell>
          <cell r="K167">
            <v>6</v>
          </cell>
          <cell r="M167">
            <v>22869</v>
          </cell>
        </row>
        <row r="168">
          <cell r="A168" t="str">
            <v>C0167</v>
          </cell>
          <cell r="J168">
            <v>43</v>
          </cell>
          <cell r="K168">
            <v>7</v>
          </cell>
          <cell r="M168">
            <v>96159</v>
          </cell>
        </row>
        <row r="169">
          <cell r="A169" t="str">
            <v>C0168</v>
          </cell>
          <cell r="J169">
            <v>22</v>
          </cell>
          <cell r="K169">
            <v>4</v>
          </cell>
          <cell r="M169">
            <v>73410</v>
          </cell>
        </row>
        <row r="170">
          <cell r="A170" t="str">
            <v>C0169</v>
          </cell>
          <cell r="J170">
            <v>31</v>
          </cell>
          <cell r="K170">
            <v>7</v>
          </cell>
          <cell r="M170">
            <v>53003</v>
          </cell>
        </row>
        <row r="171">
          <cell r="A171" t="str">
            <v>C0170</v>
          </cell>
          <cell r="J171">
            <v>2</v>
          </cell>
          <cell r="K171">
            <v>3</v>
          </cell>
          <cell r="M171">
            <v>7849</v>
          </cell>
        </row>
        <row r="172">
          <cell r="A172" t="str">
            <v>C0171</v>
          </cell>
          <cell r="J172">
            <v>75</v>
          </cell>
          <cell r="K172">
            <v>4</v>
          </cell>
          <cell r="M172">
            <v>17207</v>
          </cell>
        </row>
        <row r="173">
          <cell r="A173" t="str">
            <v>C0172</v>
          </cell>
          <cell r="J173">
            <v>42</v>
          </cell>
          <cell r="K173">
            <v>7</v>
          </cell>
          <cell r="M173">
            <v>46686</v>
          </cell>
        </row>
        <row r="174">
          <cell r="A174" t="str">
            <v>C0173</v>
          </cell>
          <cell r="J174">
            <v>7</v>
          </cell>
          <cell r="K174">
            <v>5</v>
          </cell>
          <cell r="M174">
            <v>79187</v>
          </cell>
        </row>
        <row r="175">
          <cell r="A175" t="str">
            <v>C0174</v>
          </cell>
          <cell r="J175">
            <v>31</v>
          </cell>
          <cell r="K175">
            <v>2</v>
          </cell>
          <cell r="M175">
            <v>8562</v>
          </cell>
        </row>
        <row r="176">
          <cell r="A176" t="str">
            <v>C0175</v>
          </cell>
          <cell r="J176">
            <v>8</v>
          </cell>
          <cell r="K176">
            <v>5</v>
          </cell>
          <cell r="M176">
            <v>21511</v>
          </cell>
        </row>
        <row r="177">
          <cell r="A177" t="str">
            <v>C0176</v>
          </cell>
          <cell r="J177">
            <v>78</v>
          </cell>
          <cell r="K177">
            <v>3</v>
          </cell>
          <cell r="M177">
            <v>19673</v>
          </cell>
        </row>
        <row r="178">
          <cell r="A178" t="str">
            <v>C0177</v>
          </cell>
          <cell r="J178">
            <v>2</v>
          </cell>
          <cell r="K178">
            <v>3</v>
          </cell>
          <cell r="M178">
            <v>51472</v>
          </cell>
        </row>
        <row r="179">
          <cell r="A179" t="str">
            <v>C0178</v>
          </cell>
          <cell r="J179">
            <v>60</v>
          </cell>
          <cell r="K179">
            <v>4</v>
          </cell>
          <cell r="M179">
            <v>18187</v>
          </cell>
        </row>
        <row r="180">
          <cell r="A180" t="str">
            <v>C0179</v>
          </cell>
          <cell r="J180">
            <v>48</v>
          </cell>
          <cell r="K180">
            <v>3</v>
          </cell>
          <cell r="M180">
            <v>14405</v>
          </cell>
        </row>
        <row r="181">
          <cell r="A181" t="str">
            <v>C0180</v>
          </cell>
          <cell r="J181">
            <v>12</v>
          </cell>
          <cell r="K181">
            <v>6</v>
          </cell>
          <cell r="M181">
            <v>33320</v>
          </cell>
        </row>
        <row r="182">
          <cell r="A182" t="str">
            <v>C0181</v>
          </cell>
          <cell r="J182">
            <v>35</v>
          </cell>
          <cell r="K182">
            <v>6</v>
          </cell>
          <cell r="M182">
            <v>113687</v>
          </cell>
        </row>
        <row r="183">
          <cell r="A183" t="str">
            <v>C0182</v>
          </cell>
          <cell r="J183">
            <v>2</v>
          </cell>
          <cell r="K183">
            <v>5</v>
          </cell>
          <cell r="M183">
            <v>26196</v>
          </cell>
        </row>
        <row r="184">
          <cell r="A184" t="str">
            <v>C0183</v>
          </cell>
          <cell r="J184">
            <v>24</v>
          </cell>
          <cell r="K184">
            <v>5</v>
          </cell>
          <cell r="M184">
            <v>106920</v>
          </cell>
        </row>
        <row r="185">
          <cell r="A185" t="str">
            <v>C0184</v>
          </cell>
          <cell r="J185">
            <v>28</v>
          </cell>
          <cell r="K185">
            <v>3</v>
          </cell>
          <cell r="M185">
            <v>6114</v>
          </cell>
        </row>
        <row r="186">
          <cell r="A186" t="str">
            <v>C0185</v>
          </cell>
          <cell r="J186">
            <v>11</v>
          </cell>
          <cell r="K186">
            <v>3</v>
          </cell>
          <cell r="M186">
            <v>6023</v>
          </cell>
        </row>
        <row r="187">
          <cell r="A187" t="str">
            <v>C0186</v>
          </cell>
          <cell r="J187">
            <v>42</v>
          </cell>
          <cell r="K187">
            <v>4</v>
          </cell>
          <cell r="M187">
            <v>25120</v>
          </cell>
        </row>
        <row r="188">
          <cell r="A188" t="str">
            <v>C0187</v>
          </cell>
          <cell r="J188">
            <v>10</v>
          </cell>
          <cell r="K188">
            <v>5</v>
          </cell>
          <cell r="M188">
            <v>38198</v>
          </cell>
        </row>
        <row r="189">
          <cell r="A189" t="str">
            <v>C0188</v>
          </cell>
          <cell r="J189">
            <v>29</v>
          </cell>
          <cell r="K189">
            <v>3</v>
          </cell>
          <cell r="M189">
            <v>31992</v>
          </cell>
        </row>
        <row r="190">
          <cell r="A190" t="str">
            <v>C0189</v>
          </cell>
          <cell r="J190">
            <v>17</v>
          </cell>
          <cell r="K190">
            <v>6</v>
          </cell>
          <cell r="M190">
            <v>40378</v>
          </cell>
        </row>
        <row r="191">
          <cell r="A191" t="str">
            <v>C0190</v>
          </cell>
          <cell r="J191">
            <v>29</v>
          </cell>
          <cell r="K191">
            <v>2</v>
          </cell>
          <cell r="M191">
            <v>4110</v>
          </cell>
        </row>
        <row r="192">
          <cell r="A192" t="str">
            <v>C0191</v>
          </cell>
          <cell r="J192">
            <v>33</v>
          </cell>
          <cell r="K192">
            <v>5</v>
          </cell>
          <cell r="M192">
            <v>10354</v>
          </cell>
        </row>
        <row r="193">
          <cell r="A193" t="str">
            <v>C0192</v>
          </cell>
          <cell r="J193">
            <v>2</v>
          </cell>
          <cell r="K193">
            <v>3</v>
          </cell>
          <cell r="M193">
            <v>5488</v>
          </cell>
        </row>
        <row r="194">
          <cell r="A194" t="str">
            <v>C0193</v>
          </cell>
          <cell r="J194">
            <v>8</v>
          </cell>
          <cell r="K194">
            <v>3</v>
          </cell>
          <cell r="M194">
            <v>4724</v>
          </cell>
        </row>
        <row r="195">
          <cell r="A195" t="str">
            <v>C0194</v>
          </cell>
          <cell r="J195">
            <v>65</v>
          </cell>
          <cell r="K195">
            <v>8</v>
          </cell>
          <cell r="M195">
            <v>76230</v>
          </cell>
        </row>
        <row r="196">
          <cell r="A196" t="str">
            <v>C0195</v>
          </cell>
          <cell r="J196">
            <v>16</v>
          </cell>
          <cell r="K196">
            <v>9</v>
          </cell>
          <cell r="M196">
            <v>26641</v>
          </cell>
        </row>
        <row r="197">
          <cell r="A197" t="str">
            <v>C0196</v>
          </cell>
          <cell r="J197">
            <v>59</v>
          </cell>
          <cell r="K197">
            <v>2</v>
          </cell>
          <cell r="M197">
            <v>28555</v>
          </cell>
        </row>
        <row r="198">
          <cell r="A198" t="str">
            <v>C0197</v>
          </cell>
          <cell r="J198">
            <v>33</v>
          </cell>
          <cell r="K198">
            <v>4</v>
          </cell>
          <cell r="M198">
            <v>10567</v>
          </cell>
        </row>
        <row r="199">
          <cell r="A199" t="str">
            <v>C0198</v>
          </cell>
          <cell r="J199">
            <v>29</v>
          </cell>
          <cell r="K199">
            <v>6</v>
          </cell>
          <cell r="M199">
            <v>27995</v>
          </cell>
        </row>
        <row r="200">
          <cell r="A200" t="str">
            <v>C0199</v>
          </cell>
          <cell r="J200">
            <v>77</v>
          </cell>
          <cell r="K200">
            <v>5</v>
          </cell>
          <cell r="M200">
            <v>16355</v>
          </cell>
        </row>
        <row r="201">
          <cell r="A201" t="str">
            <v>C0200</v>
          </cell>
          <cell r="J201">
            <v>33</v>
          </cell>
          <cell r="K201">
            <v>4</v>
          </cell>
          <cell r="M201">
            <v>10485</v>
          </cell>
        </row>
        <row r="202">
          <cell r="A202" t="str">
            <v>C0201</v>
          </cell>
          <cell r="J202">
            <v>10</v>
          </cell>
          <cell r="K202">
            <v>5</v>
          </cell>
          <cell r="M202">
            <v>32922</v>
          </cell>
        </row>
        <row r="203">
          <cell r="A203" t="str">
            <v>C0202</v>
          </cell>
          <cell r="J203">
            <v>47</v>
          </cell>
          <cell r="K203">
            <v>4</v>
          </cell>
          <cell r="M203">
            <v>57475</v>
          </cell>
        </row>
        <row r="204">
          <cell r="A204" t="str">
            <v>C0203</v>
          </cell>
          <cell r="J204">
            <v>2</v>
          </cell>
          <cell r="K204">
            <v>4</v>
          </cell>
          <cell r="M204">
            <v>9979</v>
          </cell>
        </row>
        <row r="205">
          <cell r="A205" t="str">
            <v>C0204</v>
          </cell>
          <cell r="J205">
            <v>35</v>
          </cell>
          <cell r="K205">
            <v>6</v>
          </cell>
          <cell r="M205">
            <v>11508</v>
          </cell>
        </row>
        <row r="206">
          <cell r="A206" t="str">
            <v>C0205</v>
          </cell>
          <cell r="J206">
            <v>44</v>
          </cell>
          <cell r="K206">
            <v>1</v>
          </cell>
          <cell r="M206">
            <v>3803</v>
          </cell>
        </row>
        <row r="207">
          <cell r="A207" t="str">
            <v>C0206</v>
          </cell>
          <cell r="J207">
            <v>26</v>
          </cell>
          <cell r="K207">
            <v>6</v>
          </cell>
          <cell r="M207">
            <v>34659</v>
          </cell>
        </row>
        <row r="208">
          <cell r="A208" t="str">
            <v>C0207</v>
          </cell>
          <cell r="J208">
            <v>7</v>
          </cell>
          <cell r="K208">
            <v>6</v>
          </cell>
          <cell r="M208">
            <v>38284</v>
          </cell>
        </row>
        <row r="209">
          <cell r="A209" t="str">
            <v>C0208</v>
          </cell>
          <cell r="J209">
            <v>57</v>
          </cell>
          <cell r="K209">
            <v>4</v>
          </cell>
          <cell r="M209">
            <v>29059</v>
          </cell>
        </row>
        <row r="210">
          <cell r="A210" t="str">
            <v>C0209</v>
          </cell>
          <cell r="J210">
            <v>2</v>
          </cell>
          <cell r="K210">
            <v>6</v>
          </cell>
          <cell r="M210">
            <v>22978</v>
          </cell>
        </row>
        <row r="211">
          <cell r="A211" t="str">
            <v>C0210</v>
          </cell>
          <cell r="J211">
            <v>63</v>
          </cell>
          <cell r="K211">
            <v>3</v>
          </cell>
          <cell r="M211">
            <v>3620</v>
          </cell>
        </row>
        <row r="212">
          <cell r="A212" t="str">
            <v>C0211</v>
          </cell>
          <cell r="J212">
            <v>47</v>
          </cell>
          <cell r="K212">
            <v>5</v>
          </cell>
          <cell r="M212">
            <v>19620</v>
          </cell>
        </row>
        <row r="213">
          <cell r="A213" t="str">
            <v>C0212</v>
          </cell>
          <cell r="J213">
            <v>42</v>
          </cell>
          <cell r="K213">
            <v>2</v>
          </cell>
          <cell r="M213">
            <v>14502</v>
          </cell>
        </row>
        <row r="214">
          <cell r="A214" t="str">
            <v>C0213</v>
          </cell>
          <cell r="J214">
            <v>2</v>
          </cell>
          <cell r="K214">
            <v>3</v>
          </cell>
          <cell r="M214">
            <v>17976</v>
          </cell>
        </row>
        <row r="215">
          <cell r="A215" t="str">
            <v>C0214</v>
          </cell>
          <cell r="J215">
            <v>35</v>
          </cell>
          <cell r="K215">
            <v>4</v>
          </cell>
          <cell r="M215">
            <v>3146</v>
          </cell>
        </row>
        <row r="216">
          <cell r="A216" t="str">
            <v>C0215</v>
          </cell>
          <cell r="J216">
            <v>2</v>
          </cell>
          <cell r="K216">
            <v>3</v>
          </cell>
          <cell r="M216">
            <v>14041</v>
          </cell>
        </row>
        <row r="217">
          <cell r="A217" t="str">
            <v>C0216</v>
          </cell>
          <cell r="J217">
            <v>2</v>
          </cell>
          <cell r="K217">
            <v>6</v>
          </cell>
          <cell r="M217">
            <v>48180</v>
          </cell>
        </row>
        <row r="218">
          <cell r="A218" t="str">
            <v>C0217</v>
          </cell>
          <cell r="J218">
            <v>55</v>
          </cell>
          <cell r="K218">
            <v>5</v>
          </cell>
          <cell r="M218">
            <v>4565</v>
          </cell>
        </row>
        <row r="219">
          <cell r="A219" t="str">
            <v>C0218</v>
          </cell>
          <cell r="J219">
            <v>49</v>
          </cell>
          <cell r="K219">
            <v>6</v>
          </cell>
          <cell r="M219">
            <v>32566</v>
          </cell>
        </row>
        <row r="220">
          <cell r="A220" t="str">
            <v>C0219</v>
          </cell>
          <cell r="J220">
            <v>4</v>
          </cell>
          <cell r="K220">
            <v>7</v>
          </cell>
          <cell r="M220">
            <v>15569</v>
          </cell>
        </row>
        <row r="221">
          <cell r="A221" t="str">
            <v>C0220</v>
          </cell>
          <cell r="J221">
            <v>24</v>
          </cell>
          <cell r="K221">
            <v>6</v>
          </cell>
          <cell r="M221">
            <v>62825</v>
          </cell>
        </row>
        <row r="222">
          <cell r="A222" t="str">
            <v>C0221</v>
          </cell>
          <cell r="J222">
            <v>50</v>
          </cell>
          <cell r="K222">
            <v>2</v>
          </cell>
          <cell r="M222">
            <v>10266</v>
          </cell>
        </row>
        <row r="223">
          <cell r="A223" t="str">
            <v>C0222</v>
          </cell>
          <cell r="J223">
            <v>55</v>
          </cell>
          <cell r="K223">
            <v>6</v>
          </cell>
          <cell r="M223">
            <v>19194</v>
          </cell>
        </row>
        <row r="224">
          <cell r="A224" t="str">
            <v>C0223</v>
          </cell>
          <cell r="J224">
            <v>31</v>
          </cell>
          <cell r="K224">
            <v>3</v>
          </cell>
          <cell r="M224">
            <v>2919</v>
          </cell>
        </row>
        <row r="225">
          <cell r="A225" t="str">
            <v>C0224</v>
          </cell>
          <cell r="J225">
            <v>60</v>
          </cell>
          <cell r="K225">
            <v>4</v>
          </cell>
          <cell r="M225">
            <v>16044</v>
          </cell>
        </row>
        <row r="226">
          <cell r="A226" t="str">
            <v>C0225</v>
          </cell>
          <cell r="J226">
            <v>3</v>
          </cell>
          <cell r="K226">
            <v>7</v>
          </cell>
          <cell r="M226">
            <v>16328</v>
          </cell>
        </row>
        <row r="227">
          <cell r="A227" t="str">
            <v>C0226</v>
          </cell>
          <cell r="J227">
            <v>61</v>
          </cell>
          <cell r="K227">
            <v>5</v>
          </cell>
          <cell r="M227">
            <v>29295</v>
          </cell>
        </row>
        <row r="228">
          <cell r="A228" t="str">
            <v>C0227</v>
          </cell>
          <cell r="J228">
            <v>88</v>
          </cell>
          <cell r="K228">
            <v>3</v>
          </cell>
          <cell r="M228">
            <v>14242</v>
          </cell>
        </row>
        <row r="229">
          <cell r="A229" t="str">
            <v>C0228</v>
          </cell>
          <cell r="J229">
            <v>13</v>
          </cell>
          <cell r="K229">
            <v>4</v>
          </cell>
          <cell r="M229">
            <v>6829</v>
          </cell>
        </row>
        <row r="230">
          <cell r="A230" t="str">
            <v>C0229</v>
          </cell>
          <cell r="J230">
            <v>83</v>
          </cell>
          <cell r="K230">
            <v>4</v>
          </cell>
          <cell r="M230">
            <v>51843</v>
          </cell>
        </row>
        <row r="231">
          <cell r="A231" t="str">
            <v>C0230</v>
          </cell>
          <cell r="J231">
            <v>42</v>
          </cell>
          <cell r="K231">
            <v>4</v>
          </cell>
          <cell r="M231">
            <v>19468</v>
          </cell>
        </row>
        <row r="232">
          <cell r="A232" t="str">
            <v>C0231</v>
          </cell>
          <cell r="J232">
            <v>24</v>
          </cell>
          <cell r="K232">
            <v>5</v>
          </cell>
          <cell r="M232">
            <v>54796</v>
          </cell>
        </row>
        <row r="233">
          <cell r="A233" t="str">
            <v>C0232</v>
          </cell>
          <cell r="J233">
            <v>38</v>
          </cell>
          <cell r="K233">
            <v>3</v>
          </cell>
          <cell r="M233">
            <v>9178</v>
          </cell>
        </row>
        <row r="234">
          <cell r="A234" t="str">
            <v>C0233</v>
          </cell>
          <cell r="J234">
            <v>2</v>
          </cell>
          <cell r="K234">
            <v>5</v>
          </cell>
          <cell r="M234">
            <v>18461</v>
          </cell>
        </row>
        <row r="235">
          <cell r="A235" t="str">
            <v>C0234</v>
          </cell>
          <cell r="J235">
            <v>25</v>
          </cell>
          <cell r="K235">
            <v>3</v>
          </cell>
          <cell r="M235">
            <v>5820</v>
          </cell>
        </row>
        <row r="236">
          <cell r="A236" t="str">
            <v>C0235</v>
          </cell>
          <cell r="J236">
            <v>49</v>
          </cell>
          <cell r="K236">
            <v>5</v>
          </cell>
          <cell r="M236">
            <v>24066</v>
          </cell>
        </row>
        <row r="237">
          <cell r="A237" t="str">
            <v>C0236</v>
          </cell>
          <cell r="J237">
            <v>52</v>
          </cell>
          <cell r="K237">
            <v>3</v>
          </cell>
          <cell r="M237">
            <v>3065</v>
          </cell>
        </row>
        <row r="238">
          <cell r="A238" t="str">
            <v>C0237</v>
          </cell>
          <cell r="J238">
            <v>18</v>
          </cell>
          <cell r="K238">
            <v>5</v>
          </cell>
          <cell r="M238">
            <v>37160</v>
          </cell>
        </row>
        <row r="239">
          <cell r="A239" t="str">
            <v>C0238</v>
          </cell>
          <cell r="J239">
            <v>8</v>
          </cell>
          <cell r="K239">
            <v>4</v>
          </cell>
          <cell r="M239">
            <v>17920</v>
          </cell>
        </row>
        <row r="240">
          <cell r="A240" t="str">
            <v>C0239</v>
          </cell>
          <cell r="J240">
            <v>21</v>
          </cell>
          <cell r="K240">
            <v>6</v>
          </cell>
          <cell r="M240">
            <v>22471</v>
          </cell>
        </row>
        <row r="241">
          <cell r="A241" t="str">
            <v>C0240</v>
          </cell>
          <cell r="J241">
            <v>33</v>
          </cell>
          <cell r="K241">
            <v>5</v>
          </cell>
          <cell r="M241">
            <v>11622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3F432-E86B-4EC2-9947-27A6B62815B2}" name="CustomerTable" displayName="CustomerTable" ref="A1:T241">
  <autoFilter ref="A1:T241" xr:uid="{9A53F432-E86B-4EC2-9947-27A6B62815B2}"/>
  <sortState xmlns:xlrd2="http://schemas.microsoft.com/office/spreadsheetml/2017/richdata2" ref="A2:T241">
    <sortCondition ref="A1:A241"/>
  </sortState>
  <tableColumns count="20">
    <tableColumn id="1" xr3:uid="{3D25752D-9844-4CDA-9D6D-7E3A20BDC000}" name="Customer ID"/>
    <tableColumn id="2" xr3:uid="{3B5C993E-ED22-4355-A10C-9D3F550C56F7}" name="Region"/>
    <tableColumn id="3" xr3:uid="{11CC4511-4573-4534-9C19-26FD26CC6669}" name="Primary Channel"/>
    <tableColumn id="4" xr3:uid="{48B420B0-EC09-4601-ABE1-FB8FDCCE4D2D}" name="Need State"/>
    <tableColumn id="5" xr3:uid="{D10FA9D2-FEDF-41CE-8D32-CE6C632C0602}" name="Preference Tier"/>
    <tableColumn id="6" xr3:uid="{C1DBBE79-D1EE-4663-B279-C9AFC74AE382}" name="Age"/>
    <tableColumn id="7" xr3:uid="{0139CDF7-B9BF-400B-AADC-7EDA8A4E2683}" name="Annual Income (₹ lakh)"/>
    <tableColumn id="8" xr3:uid="{8C2DD28F-79CA-415D-8CB1-4C609EF5448E}" name="Engagement Score (0-100)"/>
    <tableColumn id="9" xr3:uid="{FF6767D7-8E64-415A-8B1A-A692292C8DCD}" name="Digital Affinity (0-100)"/>
    <tableColumn id="10" xr3:uid="{EDB0233B-BF1B-4C89-A52E-537B8B555F02}" name="Recency (days)"/>
    <tableColumn id="11" xr3:uid="{47B27042-56F7-4950-B797-DDA7FDD2F784}" name="Purchase Frequency (per year)"/>
    <tableColumn id="12" xr3:uid="{F980500C-029D-4F88-A224-20278F018510}" name="Avg Order Value (₹)"/>
    <tableColumn id="13" xr3:uid="{78DB3E6B-72F9-4ADC-A311-9CDE39DF15FA}" name="Annual Spend (₹)"/>
    <tableColumn id="14" xr3:uid="{34DF7E9E-A9F8-4BA2-8AB6-E20B74DB37ED}" name="Satisfaction (1-5)"/>
    <tableColumn id="15" xr3:uid="{2FCE2D04-B2D9-47A9-8D4D-B1534E83482F}" name="Price Sensitivity (1-5)"/>
    <tableColumn id="16" xr3:uid="{B71CFB87-421E-4B36-B2F4-73CE58B9058B}" name="Promo Response Prob"/>
    <tableColumn id="17" xr3:uid="{4134CEB4-4AB7-4EB7-BAD6-948D4751067D}" name="CLV Proxy (₹)"/>
    <tableColumn id="18" xr3:uid="{B762031F-B460-4A3F-A99F-7B7142771D3F}" name="Segment (formula)"/>
    <tableColumn id="19" xr3:uid="{DF9AC9FD-B0E5-45C4-938E-70E72B48E9DC}" name="Target? (Y/N)"/>
    <tableColumn id="20" xr3:uid="{D308CED0-A9B0-4BC3-81FC-644A1162BB7C}" name="Offer/Message">
      <calculatedColumnFormula>IF(R2="Premium Loyalists","VIP access + premium bundle",IF(R2="Digital Deal Seekers","Limited-time online coupon",IF(R2="High Potential","Onboarding + cross-sell",IF(R2="At-Risk High Value","Win-back concierge call",IF(R2="Value Regulars","Subscribe &amp; save","") 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8683-72EB-4F34-A625-8F6B6E43E751}">
  <dimension ref="A1:W241"/>
  <sheetViews>
    <sheetView tabSelected="1" workbookViewId="0">
      <selection activeCell="N2" sqref="N2"/>
    </sheetView>
  </sheetViews>
  <sheetFormatPr defaultRowHeight="14.4" x14ac:dyDescent="0.3"/>
  <cols>
    <col min="1" max="1" width="12" customWidth="1"/>
    <col min="2" max="2" width="10" customWidth="1"/>
    <col min="3" max="3" width="16" customWidth="1"/>
    <col min="4" max="5" width="14" customWidth="1"/>
    <col min="6" max="6" width="6" customWidth="1"/>
    <col min="7" max="7" width="18" customWidth="1"/>
    <col min="8" max="9" width="22" customWidth="1"/>
    <col min="10" max="10" width="14" customWidth="1"/>
    <col min="11" max="11" width="22" customWidth="1"/>
    <col min="12" max="12" width="16" customWidth="1"/>
    <col min="13" max="13" width="14" customWidth="1"/>
    <col min="14" max="14" width="16" customWidth="1"/>
    <col min="15" max="16" width="18" customWidth="1"/>
    <col min="17" max="17" width="14" customWidth="1"/>
    <col min="18" max="18" width="24.33203125" bestFit="1" customWidth="1"/>
    <col min="19" max="19" width="12" customWidth="1"/>
    <col min="20" max="20" width="20" customWidth="1"/>
    <col min="22" max="22" width="26" customWidth="1"/>
    <col min="23" max="23" width="16" customWidth="1"/>
  </cols>
  <sheetData>
    <row r="1" spans="1:23" ht="14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2" t="s">
        <v>20</v>
      </c>
    </row>
    <row r="2" spans="1:23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50</v>
      </c>
      <c r="G2">
        <v>7.9</v>
      </c>
      <c r="H2">
        <v>51</v>
      </c>
      <c r="I2">
        <v>95</v>
      </c>
      <c r="J2">
        <v>55</v>
      </c>
      <c r="K2">
        <v>5</v>
      </c>
      <c r="L2">
        <v>2355</v>
      </c>
      <c r="M2">
        <v>10943</v>
      </c>
      <c r="N2">
        <v>4.4000000000000004</v>
      </c>
      <c r="O2">
        <v>4</v>
      </c>
      <c r="P2">
        <v>0.38</v>
      </c>
      <c r="Q2">
        <v>6291</v>
      </c>
      <c r="T2" t="str">
        <f t="shared" ref="T2:T65" si="0">IF(R2="Premium Loyalists","VIP access + premium bundle",IF(R2="Digital Deal Seekers","Limited-time online coupon",IF(R2="High Potential","Onboarding + cross-sell",IF(R2="At-Risk High Value","Win-back concierge call",IF(R2="Value Regulars","Subscribe &amp; save","") ))))</f>
        <v/>
      </c>
      <c r="V2" t="s">
        <v>26</v>
      </c>
      <c r="W2">
        <v>18</v>
      </c>
    </row>
    <row r="3" spans="1:23" x14ac:dyDescent="0.3">
      <c r="A3" t="s">
        <v>27</v>
      </c>
      <c r="B3" t="s">
        <v>28</v>
      </c>
      <c r="C3" t="s">
        <v>29</v>
      </c>
      <c r="D3" t="s">
        <v>24</v>
      </c>
      <c r="E3" t="s">
        <v>25</v>
      </c>
      <c r="F3">
        <v>30</v>
      </c>
      <c r="G3">
        <v>6</v>
      </c>
      <c r="H3">
        <v>44</v>
      </c>
      <c r="I3">
        <v>75</v>
      </c>
      <c r="J3">
        <v>62</v>
      </c>
      <c r="K3">
        <v>4</v>
      </c>
      <c r="L3">
        <v>2277</v>
      </c>
      <c r="M3">
        <v>10243</v>
      </c>
      <c r="N3">
        <v>3.8</v>
      </c>
      <c r="O3">
        <v>4</v>
      </c>
      <c r="P3">
        <v>0.31</v>
      </c>
      <c r="Q3">
        <v>5550</v>
      </c>
      <c r="T3" t="str">
        <f t="shared" si="0"/>
        <v/>
      </c>
      <c r="V3" t="s">
        <v>30</v>
      </c>
      <c r="W3">
        <v>70</v>
      </c>
    </row>
    <row r="4" spans="1:23" x14ac:dyDescent="0.3">
      <c r="A4" t="s">
        <v>31</v>
      </c>
      <c r="B4" t="s">
        <v>22</v>
      </c>
      <c r="C4" t="s">
        <v>32</v>
      </c>
      <c r="D4" t="s">
        <v>33</v>
      </c>
      <c r="E4" t="s">
        <v>34</v>
      </c>
      <c r="F4">
        <v>44</v>
      </c>
      <c r="G4">
        <v>11.6</v>
      </c>
      <c r="H4">
        <v>60</v>
      </c>
      <c r="I4">
        <v>60</v>
      </c>
      <c r="J4">
        <v>4</v>
      </c>
      <c r="K4">
        <v>5</v>
      </c>
      <c r="L4">
        <v>2983</v>
      </c>
      <c r="M4">
        <v>12817</v>
      </c>
      <c r="N4">
        <v>4.4000000000000004</v>
      </c>
      <c r="O4">
        <v>3</v>
      </c>
      <c r="P4">
        <v>0.21</v>
      </c>
      <c r="Q4">
        <v>11381</v>
      </c>
      <c r="T4" t="str">
        <f t="shared" si="0"/>
        <v/>
      </c>
      <c r="V4" t="s">
        <v>35</v>
      </c>
      <c r="W4">
        <v>70</v>
      </c>
    </row>
    <row r="5" spans="1:23" x14ac:dyDescent="0.3">
      <c r="A5" t="s">
        <v>36</v>
      </c>
      <c r="B5" t="s">
        <v>22</v>
      </c>
      <c r="C5" t="s">
        <v>23</v>
      </c>
      <c r="D5" t="s">
        <v>37</v>
      </c>
      <c r="E5" t="s">
        <v>25</v>
      </c>
      <c r="F5">
        <v>19</v>
      </c>
      <c r="G5">
        <v>9.3000000000000007</v>
      </c>
      <c r="H5">
        <v>72</v>
      </c>
      <c r="I5">
        <v>80</v>
      </c>
      <c r="J5">
        <v>72</v>
      </c>
      <c r="K5">
        <v>5</v>
      </c>
      <c r="L5">
        <v>2080</v>
      </c>
      <c r="M5">
        <v>10322</v>
      </c>
      <c r="N5">
        <v>3.2</v>
      </c>
      <c r="O5">
        <v>3</v>
      </c>
      <c r="P5">
        <v>0.49</v>
      </c>
      <c r="Q5">
        <v>6429</v>
      </c>
      <c r="T5" t="str">
        <f t="shared" si="0"/>
        <v/>
      </c>
      <c r="V5" t="s">
        <v>38</v>
      </c>
      <c r="W5">
        <v>60000</v>
      </c>
    </row>
    <row r="6" spans="1:23" x14ac:dyDescent="0.3">
      <c r="A6" t="s">
        <v>39</v>
      </c>
      <c r="B6" t="s">
        <v>40</v>
      </c>
      <c r="C6" t="s">
        <v>41</v>
      </c>
      <c r="D6" t="s">
        <v>37</v>
      </c>
      <c r="E6" t="s">
        <v>34</v>
      </c>
      <c r="F6">
        <v>37</v>
      </c>
      <c r="G6">
        <v>13.5</v>
      </c>
      <c r="H6">
        <v>31</v>
      </c>
      <c r="I6">
        <v>39</v>
      </c>
      <c r="J6">
        <v>27</v>
      </c>
      <c r="K6">
        <v>5</v>
      </c>
      <c r="L6">
        <v>5776</v>
      </c>
      <c r="M6">
        <v>28743</v>
      </c>
      <c r="N6">
        <v>3.6</v>
      </c>
      <c r="O6">
        <v>3</v>
      </c>
      <c r="P6">
        <v>0.43</v>
      </c>
      <c r="Q6">
        <v>20893</v>
      </c>
      <c r="T6" t="str">
        <f t="shared" si="0"/>
        <v/>
      </c>
    </row>
    <row r="7" spans="1:23" x14ac:dyDescent="0.3">
      <c r="A7" t="s">
        <v>42</v>
      </c>
      <c r="B7" t="s">
        <v>22</v>
      </c>
      <c r="C7" t="s">
        <v>41</v>
      </c>
      <c r="D7" t="s">
        <v>24</v>
      </c>
      <c r="E7" t="s">
        <v>34</v>
      </c>
      <c r="F7">
        <v>19</v>
      </c>
      <c r="G7">
        <v>10</v>
      </c>
      <c r="H7">
        <v>44</v>
      </c>
      <c r="I7">
        <v>59</v>
      </c>
      <c r="J7">
        <v>49</v>
      </c>
      <c r="K7">
        <v>4</v>
      </c>
      <c r="L7">
        <v>3122</v>
      </c>
      <c r="M7">
        <v>14273</v>
      </c>
      <c r="N7">
        <v>3.7</v>
      </c>
      <c r="O7">
        <v>2</v>
      </c>
      <c r="P7">
        <v>0.4</v>
      </c>
      <c r="Q7">
        <v>10645</v>
      </c>
      <c r="T7" t="str">
        <f t="shared" si="0"/>
        <v/>
      </c>
    </row>
    <row r="8" spans="1:23" x14ac:dyDescent="0.3">
      <c r="A8" t="s">
        <v>43</v>
      </c>
      <c r="B8" t="s">
        <v>44</v>
      </c>
      <c r="C8" t="s">
        <v>23</v>
      </c>
      <c r="D8" t="s">
        <v>37</v>
      </c>
      <c r="E8" t="s">
        <v>34</v>
      </c>
      <c r="F8">
        <v>45</v>
      </c>
      <c r="G8">
        <v>15.4</v>
      </c>
      <c r="H8">
        <v>77</v>
      </c>
      <c r="I8">
        <v>64</v>
      </c>
      <c r="J8">
        <v>2</v>
      </c>
      <c r="K8">
        <v>6</v>
      </c>
      <c r="L8">
        <v>4686</v>
      </c>
      <c r="M8">
        <v>24832</v>
      </c>
      <c r="N8">
        <v>4.2</v>
      </c>
      <c r="O8">
        <v>4</v>
      </c>
      <c r="P8">
        <v>0.46</v>
      </c>
      <c r="Q8">
        <v>22051</v>
      </c>
      <c r="T8" t="str">
        <f t="shared" si="0"/>
        <v/>
      </c>
    </row>
    <row r="9" spans="1:23" x14ac:dyDescent="0.3">
      <c r="A9" t="s">
        <v>45</v>
      </c>
      <c r="B9" t="s">
        <v>28</v>
      </c>
      <c r="C9" t="s">
        <v>29</v>
      </c>
      <c r="D9" t="s">
        <v>46</v>
      </c>
      <c r="E9" t="s">
        <v>34</v>
      </c>
      <c r="F9">
        <v>23</v>
      </c>
      <c r="G9">
        <v>12.6</v>
      </c>
      <c r="H9">
        <v>71</v>
      </c>
      <c r="I9">
        <v>41</v>
      </c>
      <c r="J9">
        <v>32</v>
      </c>
      <c r="K9">
        <v>7</v>
      </c>
      <c r="L9">
        <v>3684</v>
      </c>
      <c r="M9">
        <v>29482</v>
      </c>
      <c r="N9">
        <v>4.8</v>
      </c>
      <c r="O9">
        <v>4</v>
      </c>
      <c r="P9">
        <v>0.45</v>
      </c>
      <c r="Q9">
        <v>26180</v>
      </c>
      <c r="T9" t="str">
        <f t="shared" si="0"/>
        <v/>
      </c>
    </row>
    <row r="10" spans="1:23" x14ac:dyDescent="0.3">
      <c r="A10" t="s">
        <v>47</v>
      </c>
      <c r="B10" t="s">
        <v>28</v>
      </c>
      <c r="C10" t="s">
        <v>29</v>
      </c>
      <c r="D10" t="s">
        <v>46</v>
      </c>
      <c r="E10" t="s">
        <v>34</v>
      </c>
      <c r="F10">
        <v>41</v>
      </c>
      <c r="G10">
        <v>8.1999999999999993</v>
      </c>
      <c r="H10">
        <v>64</v>
      </c>
      <c r="I10">
        <v>30</v>
      </c>
      <c r="J10">
        <v>55</v>
      </c>
      <c r="K10">
        <v>7</v>
      </c>
      <c r="L10">
        <v>4617</v>
      </c>
      <c r="M10">
        <v>31103</v>
      </c>
      <c r="N10">
        <v>4.5999999999999996</v>
      </c>
      <c r="O10">
        <v>3</v>
      </c>
      <c r="P10">
        <v>0.38</v>
      </c>
      <c r="Q10">
        <v>25660</v>
      </c>
      <c r="T10" t="str">
        <f t="shared" si="0"/>
        <v/>
      </c>
    </row>
    <row r="11" spans="1:23" x14ac:dyDescent="0.3">
      <c r="A11" t="s">
        <v>48</v>
      </c>
      <c r="B11" t="s">
        <v>44</v>
      </c>
      <c r="C11" t="s">
        <v>23</v>
      </c>
      <c r="D11" t="s">
        <v>24</v>
      </c>
      <c r="E11" t="s">
        <v>25</v>
      </c>
      <c r="F11">
        <v>25</v>
      </c>
      <c r="G11">
        <v>8.3000000000000007</v>
      </c>
      <c r="H11">
        <v>53</v>
      </c>
      <c r="I11">
        <v>65</v>
      </c>
      <c r="J11">
        <v>71</v>
      </c>
      <c r="K11">
        <v>2</v>
      </c>
      <c r="L11">
        <v>1771</v>
      </c>
      <c r="M11">
        <v>3721</v>
      </c>
      <c r="N11">
        <v>3.8</v>
      </c>
      <c r="O11">
        <v>3</v>
      </c>
      <c r="P11">
        <v>0.43</v>
      </c>
      <c r="Q11">
        <v>2084</v>
      </c>
      <c r="T11" t="str">
        <f t="shared" si="0"/>
        <v/>
      </c>
    </row>
    <row r="12" spans="1:23" x14ac:dyDescent="0.3">
      <c r="A12" t="s">
        <v>49</v>
      </c>
      <c r="B12" t="s">
        <v>22</v>
      </c>
      <c r="C12" t="s">
        <v>29</v>
      </c>
      <c r="D12" t="s">
        <v>37</v>
      </c>
      <c r="E12" t="s">
        <v>50</v>
      </c>
      <c r="F12">
        <v>44</v>
      </c>
      <c r="G12">
        <v>23.2</v>
      </c>
      <c r="H12">
        <v>45</v>
      </c>
      <c r="I12">
        <v>62</v>
      </c>
      <c r="J12">
        <v>14</v>
      </c>
      <c r="K12">
        <v>3</v>
      </c>
      <c r="L12">
        <v>14859</v>
      </c>
      <c r="M12">
        <v>43588</v>
      </c>
      <c r="N12">
        <v>5</v>
      </c>
      <c r="O12">
        <v>2</v>
      </c>
      <c r="P12">
        <v>0.12</v>
      </c>
      <c r="Q12">
        <v>47267</v>
      </c>
      <c r="T12" t="str">
        <f t="shared" si="0"/>
        <v/>
      </c>
    </row>
    <row r="13" spans="1:23" x14ac:dyDescent="0.3">
      <c r="A13" t="s">
        <v>51</v>
      </c>
      <c r="B13" t="s">
        <v>44</v>
      </c>
      <c r="C13" t="s">
        <v>23</v>
      </c>
      <c r="D13" t="s">
        <v>46</v>
      </c>
      <c r="E13" t="s">
        <v>34</v>
      </c>
      <c r="F13">
        <v>47</v>
      </c>
      <c r="G13">
        <v>11.4</v>
      </c>
      <c r="H13">
        <v>42</v>
      </c>
      <c r="I13">
        <v>70</v>
      </c>
      <c r="J13">
        <v>25</v>
      </c>
      <c r="K13">
        <v>4</v>
      </c>
      <c r="L13">
        <v>3574</v>
      </c>
      <c r="M13">
        <v>14479</v>
      </c>
      <c r="N13">
        <v>3</v>
      </c>
      <c r="O13">
        <v>4</v>
      </c>
      <c r="P13">
        <v>0.59</v>
      </c>
      <c r="Q13">
        <v>11294</v>
      </c>
      <c r="T13" t="str">
        <f t="shared" si="0"/>
        <v/>
      </c>
    </row>
    <row r="14" spans="1:23" x14ac:dyDescent="0.3">
      <c r="A14" t="s">
        <v>52</v>
      </c>
      <c r="B14" t="s">
        <v>44</v>
      </c>
      <c r="C14" t="s">
        <v>32</v>
      </c>
      <c r="D14" t="s">
        <v>37</v>
      </c>
      <c r="E14" t="s">
        <v>34</v>
      </c>
      <c r="F14">
        <v>30</v>
      </c>
      <c r="G14">
        <v>12.2</v>
      </c>
      <c r="H14">
        <v>55</v>
      </c>
      <c r="I14">
        <v>64</v>
      </c>
      <c r="J14">
        <v>44</v>
      </c>
      <c r="K14">
        <v>3</v>
      </c>
      <c r="L14">
        <v>5536</v>
      </c>
      <c r="M14">
        <v>16131</v>
      </c>
      <c r="N14">
        <v>3.8</v>
      </c>
      <c r="O14">
        <v>3</v>
      </c>
      <c r="P14">
        <v>0.25</v>
      </c>
      <c r="Q14">
        <v>12974</v>
      </c>
      <c r="T14" t="str">
        <f t="shared" si="0"/>
        <v/>
      </c>
    </row>
    <row r="15" spans="1:23" x14ac:dyDescent="0.3">
      <c r="A15" t="s">
        <v>53</v>
      </c>
      <c r="B15" t="s">
        <v>22</v>
      </c>
      <c r="C15" t="s">
        <v>41</v>
      </c>
      <c r="D15" t="s">
        <v>24</v>
      </c>
      <c r="E15" t="s">
        <v>34</v>
      </c>
      <c r="F15">
        <v>37</v>
      </c>
      <c r="G15">
        <v>12</v>
      </c>
      <c r="H15">
        <v>56</v>
      </c>
      <c r="I15">
        <v>64</v>
      </c>
      <c r="J15">
        <v>33</v>
      </c>
      <c r="K15">
        <v>4</v>
      </c>
      <c r="L15">
        <v>4273</v>
      </c>
      <c r="M15">
        <v>15260</v>
      </c>
      <c r="N15">
        <v>5</v>
      </c>
      <c r="O15">
        <v>4</v>
      </c>
      <c r="P15">
        <v>0.41</v>
      </c>
      <c r="Q15">
        <v>12644</v>
      </c>
      <c r="T15" t="str">
        <f t="shared" si="0"/>
        <v/>
      </c>
    </row>
    <row r="16" spans="1:23" x14ac:dyDescent="0.3">
      <c r="A16" t="s">
        <v>54</v>
      </c>
      <c r="B16" t="s">
        <v>22</v>
      </c>
      <c r="C16" t="s">
        <v>29</v>
      </c>
      <c r="D16" t="s">
        <v>33</v>
      </c>
      <c r="E16" t="s">
        <v>34</v>
      </c>
      <c r="F16">
        <v>44</v>
      </c>
      <c r="G16">
        <v>10.199999999999999</v>
      </c>
      <c r="H16">
        <v>40</v>
      </c>
      <c r="I16">
        <v>31</v>
      </c>
      <c r="J16">
        <v>48</v>
      </c>
      <c r="K16">
        <v>6</v>
      </c>
      <c r="L16">
        <v>6766</v>
      </c>
      <c r="M16">
        <v>39736</v>
      </c>
      <c r="N16">
        <v>3.3</v>
      </c>
      <c r="O16">
        <v>2</v>
      </c>
      <c r="P16">
        <v>0.23</v>
      </c>
      <c r="Q16">
        <v>28991</v>
      </c>
      <c r="T16" t="str">
        <f t="shared" si="0"/>
        <v/>
      </c>
    </row>
    <row r="17" spans="1:20" x14ac:dyDescent="0.3">
      <c r="A17" t="s">
        <v>55</v>
      </c>
      <c r="B17" t="s">
        <v>40</v>
      </c>
      <c r="C17" t="s">
        <v>41</v>
      </c>
      <c r="D17" t="s">
        <v>33</v>
      </c>
      <c r="E17" t="s">
        <v>34</v>
      </c>
      <c r="F17">
        <v>37</v>
      </c>
      <c r="G17">
        <v>14</v>
      </c>
      <c r="H17">
        <v>55</v>
      </c>
      <c r="I17">
        <v>45</v>
      </c>
      <c r="J17">
        <v>54</v>
      </c>
      <c r="K17">
        <v>6</v>
      </c>
      <c r="L17">
        <v>4708</v>
      </c>
      <c r="M17">
        <v>25451</v>
      </c>
      <c r="N17">
        <v>4.0999999999999996</v>
      </c>
      <c r="O17">
        <v>4</v>
      </c>
      <c r="P17">
        <v>0.46</v>
      </c>
      <c r="Q17">
        <v>20012</v>
      </c>
      <c r="T17" t="str">
        <f t="shared" si="0"/>
        <v/>
      </c>
    </row>
    <row r="18" spans="1:20" x14ac:dyDescent="0.3">
      <c r="A18" t="s">
        <v>56</v>
      </c>
      <c r="B18" t="s">
        <v>22</v>
      </c>
      <c r="C18" t="s">
        <v>29</v>
      </c>
      <c r="D18" t="s">
        <v>33</v>
      </c>
      <c r="E18" t="s">
        <v>34</v>
      </c>
      <c r="F18">
        <v>32</v>
      </c>
      <c r="G18">
        <v>7.1</v>
      </c>
      <c r="H18">
        <v>47</v>
      </c>
      <c r="I18">
        <v>76</v>
      </c>
      <c r="J18">
        <v>27</v>
      </c>
      <c r="K18">
        <v>4</v>
      </c>
      <c r="L18">
        <v>4190</v>
      </c>
      <c r="M18">
        <v>14466</v>
      </c>
      <c r="N18">
        <v>3.5</v>
      </c>
      <c r="O18">
        <v>3</v>
      </c>
      <c r="P18">
        <v>0.51</v>
      </c>
      <c r="Q18">
        <v>11557</v>
      </c>
      <c r="T18" t="str">
        <f t="shared" si="0"/>
        <v/>
      </c>
    </row>
    <row r="19" spans="1:20" x14ac:dyDescent="0.3">
      <c r="A19" t="s">
        <v>57</v>
      </c>
      <c r="B19" t="s">
        <v>40</v>
      </c>
      <c r="C19" t="s">
        <v>41</v>
      </c>
      <c r="D19" t="s">
        <v>37</v>
      </c>
      <c r="E19" t="s">
        <v>50</v>
      </c>
      <c r="F19">
        <v>45</v>
      </c>
      <c r="G19">
        <v>21.9</v>
      </c>
      <c r="H19">
        <v>54</v>
      </c>
      <c r="I19">
        <v>45</v>
      </c>
      <c r="J19">
        <v>75</v>
      </c>
      <c r="K19">
        <v>3</v>
      </c>
      <c r="L19">
        <v>13662</v>
      </c>
      <c r="M19">
        <v>39622</v>
      </c>
      <c r="N19">
        <v>5</v>
      </c>
      <c r="O19">
        <v>2</v>
      </c>
      <c r="P19">
        <v>0.34</v>
      </c>
      <c r="Q19">
        <v>39305</v>
      </c>
      <c r="T19" t="str">
        <f t="shared" si="0"/>
        <v/>
      </c>
    </row>
    <row r="20" spans="1:20" x14ac:dyDescent="0.3">
      <c r="A20" t="s">
        <v>58</v>
      </c>
      <c r="B20" t="s">
        <v>40</v>
      </c>
      <c r="C20" t="s">
        <v>41</v>
      </c>
      <c r="D20" t="s">
        <v>33</v>
      </c>
      <c r="E20" t="s">
        <v>50</v>
      </c>
      <c r="F20">
        <v>55</v>
      </c>
      <c r="G20">
        <v>21.6</v>
      </c>
      <c r="H20">
        <v>48</v>
      </c>
      <c r="I20">
        <v>55</v>
      </c>
      <c r="J20">
        <v>56</v>
      </c>
      <c r="K20">
        <v>3</v>
      </c>
      <c r="L20">
        <v>13540</v>
      </c>
      <c r="M20">
        <v>37881</v>
      </c>
      <c r="N20">
        <v>4.0999999999999996</v>
      </c>
      <c r="O20">
        <v>1</v>
      </c>
      <c r="P20">
        <v>0.24</v>
      </c>
      <c r="Q20">
        <v>37942</v>
      </c>
      <c r="T20" t="str">
        <f t="shared" si="0"/>
        <v/>
      </c>
    </row>
    <row r="21" spans="1:20" x14ac:dyDescent="0.3">
      <c r="A21" t="s">
        <v>59</v>
      </c>
      <c r="B21" t="s">
        <v>44</v>
      </c>
      <c r="C21" t="s">
        <v>41</v>
      </c>
      <c r="D21" t="s">
        <v>33</v>
      </c>
      <c r="E21" t="s">
        <v>50</v>
      </c>
      <c r="F21">
        <v>49</v>
      </c>
      <c r="G21">
        <v>22.4</v>
      </c>
      <c r="H21">
        <v>56</v>
      </c>
      <c r="I21">
        <v>45</v>
      </c>
      <c r="J21">
        <v>2</v>
      </c>
      <c r="K21">
        <v>4</v>
      </c>
      <c r="L21">
        <v>13050</v>
      </c>
      <c r="M21">
        <v>44673</v>
      </c>
      <c r="N21">
        <v>4.3</v>
      </c>
      <c r="O21">
        <v>2</v>
      </c>
      <c r="P21">
        <v>0.38</v>
      </c>
      <c r="Q21">
        <v>52678</v>
      </c>
      <c r="T21" t="str">
        <f t="shared" si="0"/>
        <v/>
      </c>
    </row>
    <row r="22" spans="1:20" x14ac:dyDescent="0.3">
      <c r="A22" t="s">
        <v>60</v>
      </c>
      <c r="B22" t="s">
        <v>40</v>
      </c>
      <c r="C22" t="s">
        <v>23</v>
      </c>
      <c r="D22" t="s">
        <v>33</v>
      </c>
      <c r="E22" t="s">
        <v>34</v>
      </c>
      <c r="F22">
        <v>48</v>
      </c>
      <c r="G22">
        <v>10.9</v>
      </c>
      <c r="H22">
        <v>64</v>
      </c>
      <c r="I22">
        <v>57</v>
      </c>
      <c r="J22">
        <v>20</v>
      </c>
      <c r="K22">
        <v>2</v>
      </c>
      <c r="L22">
        <v>1642</v>
      </c>
      <c r="M22">
        <v>3282</v>
      </c>
      <c r="N22">
        <v>5</v>
      </c>
      <c r="O22">
        <v>3</v>
      </c>
      <c r="P22">
        <v>0.08</v>
      </c>
      <c r="Q22">
        <v>2914</v>
      </c>
      <c r="T22" t="str">
        <f t="shared" si="0"/>
        <v/>
      </c>
    </row>
    <row r="23" spans="1:20" x14ac:dyDescent="0.3">
      <c r="A23" t="s">
        <v>61</v>
      </c>
      <c r="B23" t="s">
        <v>28</v>
      </c>
      <c r="C23" t="s">
        <v>23</v>
      </c>
      <c r="D23" t="s">
        <v>46</v>
      </c>
      <c r="E23" t="s">
        <v>25</v>
      </c>
      <c r="F23">
        <v>41</v>
      </c>
      <c r="G23">
        <v>10.9</v>
      </c>
      <c r="H23">
        <v>73</v>
      </c>
      <c r="I23">
        <v>65</v>
      </c>
      <c r="J23">
        <v>2</v>
      </c>
      <c r="K23">
        <v>6</v>
      </c>
      <c r="L23">
        <v>2603</v>
      </c>
      <c r="M23">
        <v>16280</v>
      </c>
      <c r="N23">
        <v>3.7</v>
      </c>
      <c r="O23">
        <v>4</v>
      </c>
      <c r="P23">
        <v>0.32</v>
      </c>
      <c r="Q23">
        <v>10842</v>
      </c>
      <c r="T23" t="str">
        <f t="shared" si="0"/>
        <v/>
      </c>
    </row>
    <row r="24" spans="1:20" x14ac:dyDescent="0.3">
      <c r="A24" t="s">
        <v>62</v>
      </c>
      <c r="B24" t="s">
        <v>28</v>
      </c>
      <c r="C24" t="s">
        <v>23</v>
      </c>
      <c r="D24" t="s">
        <v>37</v>
      </c>
      <c r="E24" t="s">
        <v>25</v>
      </c>
      <c r="F24">
        <v>45</v>
      </c>
      <c r="G24">
        <v>5.9</v>
      </c>
      <c r="H24">
        <v>51</v>
      </c>
      <c r="I24">
        <v>57</v>
      </c>
      <c r="J24">
        <v>2</v>
      </c>
      <c r="K24">
        <v>3</v>
      </c>
      <c r="L24">
        <v>1176</v>
      </c>
      <c r="M24">
        <v>3464</v>
      </c>
      <c r="N24">
        <v>4</v>
      </c>
      <c r="O24">
        <v>4</v>
      </c>
      <c r="P24">
        <v>0.25</v>
      </c>
      <c r="Q24">
        <v>2239</v>
      </c>
      <c r="T24" t="str">
        <f t="shared" si="0"/>
        <v/>
      </c>
    </row>
    <row r="25" spans="1:20" x14ac:dyDescent="0.3">
      <c r="A25" t="s">
        <v>63</v>
      </c>
      <c r="B25" t="s">
        <v>44</v>
      </c>
      <c r="C25" t="s">
        <v>32</v>
      </c>
      <c r="D25" t="s">
        <v>24</v>
      </c>
      <c r="E25" t="s">
        <v>25</v>
      </c>
      <c r="F25">
        <v>22</v>
      </c>
      <c r="G25">
        <v>3.3</v>
      </c>
      <c r="H25">
        <v>56</v>
      </c>
      <c r="I25">
        <v>41</v>
      </c>
      <c r="J25">
        <v>20</v>
      </c>
      <c r="K25">
        <v>6</v>
      </c>
      <c r="L25">
        <v>2870</v>
      </c>
      <c r="M25">
        <v>16398</v>
      </c>
      <c r="N25">
        <v>3.8</v>
      </c>
      <c r="O25">
        <v>4</v>
      </c>
      <c r="P25">
        <v>0.48</v>
      </c>
      <c r="Q25">
        <v>10478</v>
      </c>
      <c r="T25" t="str">
        <f t="shared" si="0"/>
        <v/>
      </c>
    </row>
    <row r="26" spans="1:20" x14ac:dyDescent="0.3">
      <c r="A26" t="s">
        <v>64</v>
      </c>
      <c r="B26" t="s">
        <v>44</v>
      </c>
      <c r="C26" t="s">
        <v>41</v>
      </c>
      <c r="D26" t="s">
        <v>37</v>
      </c>
      <c r="E26" t="s">
        <v>25</v>
      </c>
      <c r="F26">
        <v>37</v>
      </c>
      <c r="G26">
        <v>7.1</v>
      </c>
      <c r="H26">
        <v>43</v>
      </c>
      <c r="I26">
        <v>73</v>
      </c>
      <c r="J26">
        <v>20</v>
      </c>
      <c r="K26">
        <v>6</v>
      </c>
      <c r="L26">
        <v>2075</v>
      </c>
      <c r="M26">
        <v>12637</v>
      </c>
      <c r="N26">
        <v>4.0999999999999996</v>
      </c>
      <c r="O26">
        <v>4</v>
      </c>
      <c r="P26">
        <v>0.44</v>
      </c>
      <c r="Q26">
        <v>7521</v>
      </c>
      <c r="T26" t="str">
        <f t="shared" si="0"/>
        <v/>
      </c>
    </row>
    <row r="27" spans="1:20" x14ac:dyDescent="0.3">
      <c r="A27" t="s">
        <v>65</v>
      </c>
      <c r="B27" t="s">
        <v>44</v>
      </c>
      <c r="C27" t="s">
        <v>29</v>
      </c>
      <c r="D27" t="s">
        <v>37</v>
      </c>
      <c r="E27" t="s">
        <v>34</v>
      </c>
      <c r="F27">
        <v>34</v>
      </c>
      <c r="G27">
        <v>10.5</v>
      </c>
      <c r="H27">
        <v>55</v>
      </c>
      <c r="I27">
        <v>42</v>
      </c>
      <c r="J27">
        <v>43</v>
      </c>
      <c r="K27">
        <v>9</v>
      </c>
      <c r="L27">
        <v>7289</v>
      </c>
      <c r="M27">
        <v>62275</v>
      </c>
      <c r="N27">
        <v>4.3</v>
      </c>
      <c r="O27">
        <v>4</v>
      </c>
      <c r="P27">
        <v>0.21</v>
      </c>
      <c r="Q27">
        <v>50200</v>
      </c>
      <c r="T27" t="str">
        <f t="shared" si="0"/>
        <v/>
      </c>
    </row>
    <row r="28" spans="1:20" x14ac:dyDescent="0.3">
      <c r="A28" t="s">
        <v>66</v>
      </c>
      <c r="B28" t="s">
        <v>22</v>
      </c>
      <c r="C28" t="s">
        <v>23</v>
      </c>
      <c r="D28" t="s">
        <v>33</v>
      </c>
      <c r="E28" t="s">
        <v>25</v>
      </c>
      <c r="F28">
        <v>40</v>
      </c>
      <c r="G28">
        <v>7.6</v>
      </c>
      <c r="H28">
        <v>86</v>
      </c>
      <c r="I28">
        <v>69</v>
      </c>
      <c r="J28">
        <v>9</v>
      </c>
      <c r="K28">
        <v>4</v>
      </c>
      <c r="L28">
        <v>3823</v>
      </c>
      <c r="M28">
        <v>15126</v>
      </c>
      <c r="N28">
        <v>4.8</v>
      </c>
      <c r="O28">
        <v>4</v>
      </c>
      <c r="P28">
        <v>0.39</v>
      </c>
      <c r="Q28">
        <v>10074</v>
      </c>
      <c r="T28" t="str">
        <f t="shared" si="0"/>
        <v/>
      </c>
    </row>
    <row r="29" spans="1:20" x14ac:dyDescent="0.3">
      <c r="A29" t="s">
        <v>67</v>
      </c>
      <c r="B29" t="s">
        <v>44</v>
      </c>
      <c r="C29" t="s">
        <v>29</v>
      </c>
      <c r="D29" t="s">
        <v>33</v>
      </c>
      <c r="E29" t="s">
        <v>34</v>
      </c>
      <c r="F29">
        <v>29</v>
      </c>
      <c r="G29">
        <v>5</v>
      </c>
      <c r="H29">
        <v>58</v>
      </c>
      <c r="I29">
        <v>64</v>
      </c>
      <c r="J29">
        <v>71</v>
      </c>
      <c r="K29">
        <v>3</v>
      </c>
      <c r="L29">
        <v>4048</v>
      </c>
      <c r="M29">
        <v>12862</v>
      </c>
      <c r="N29">
        <v>4.0999999999999996</v>
      </c>
      <c r="O29">
        <v>4</v>
      </c>
      <c r="P29">
        <v>0.36</v>
      </c>
      <c r="Q29">
        <v>9893</v>
      </c>
      <c r="T29" t="str">
        <f t="shared" si="0"/>
        <v/>
      </c>
    </row>
    <row r="30" spans="1:20" x14ac:dyDescent="0.3">
      <c r="A30" t="s">
        <v>68</v>
      </c>
      <c r="B30" t="s">
        <v>40</v>
      </c>
      <c r="C30" t="s">
        <v>23</v>
      </c>
      <c r="D30" t="s">
        <v>37</v>
      </c>
      <c r="E30" t="s">
        <v>34</v>
      </c>
      <c r="F30">
        <v>41</v>
      </c>
      <c r="G30">
        <v>14.3</v>
      </c>
      <c r="H30">
        <v>69</v>
      </c>
      <c r="I30">
        <v>79</v>
      </c>
      <c r="J30">
        <v>67</v>
      </c>
      <c r="K30">
        <v>5</v>
      </c>
      <c r="L30">
        <v>5571</v>
      </c>
      <c r="M30">
        <v>28324</v>
      </c>
      <c r="N30">
        <v>4.3</v>
      </c>
      <c r="O30">
        <v>4</v>
      </c>
      <c r="P30">
        <v>0.33</v>
      </c>
      <c r="Q30">
        <v>23393</v>
      </c>
      <c r="T30" t="str">
        <f t="shared" si="0"/>
        <v/>
      </c>
    </row>
    <row r="31" spans="1:20" x14ac:dyDescent="0.3">
      <c r="A31" t="s">
        <v>69</v>
      </c>
      <c r="B31" t="s">
        <v>44</v>
      </c>
      <c r="C31" t="s">
        <v>41</v>
      </c>
      <c r="D31" t="s">
        <v>33</v>
      </c>
      <c r="E31" t="s">
        <v>34</v>
      </c>
      <c r="F31">
        <v>36</v>
      </c>
      <c r="G31">
        <v>14.8</v>
      </c>
      <c r="H31">
        <v>23</v>
      </c>
      <c r="I31">
        <v>52</v>
      </c>
      <c r="J31">
        <v>54</v>
      </c>
      <c r="K31">
        <v>4</v>
      </c>
      <c r="L31">
        <v>4509</v>
      </c>
      <c r="M31">
        <v>17732</v>
      </c>
      <c r="N31">
        <v>3.7</v>
      </c>
      <c r="O31">
        <v>4</v>
      </c>
      <c r="P31">
        <v>0.33</v>
      </c>
      <c r="Q31">
        <v>11389</v>
      </c>
      <c r="T31" t="str">
        <f t="shared" si="0"/>
        <v/>
      </c>
    </row>
    <row r="32" spans="1:20" x14ac:dyDescent="0.3">
      <c r="A32" t="s">
        <v>70</v>
      </c>
      <c r="B32" t="s">
        <v>22</v>
      </c>
      <c r="C32" t="s">
        <v>29</v>
      </c>
      <c r="D32" t="s">
        <v>24</v>
      </c>
      <c r="E32" t="s">
        <v>25</v>
      </c>
      <c r="F32">
        <v>36</v>
      </c>
      <c r="G32">
        <v>4.8</v>
      </c>
      <c r="H32">
        <v>49</v>
      </c>
      <c r="I32">
        <v>47</v>
      </c>
      <c r="J32">
        <v>36</v>
      </c>
      <c r="K32">
        <v>3</v>
      </c>
      <c r="L32">
        <v>2057</v>
      </c>
      <c r="M32">
        <v>6104</v>
      </c>
      <c r="N32">
        <v>4.7</v>
      </c>
      <c r="O32">
        <v>4</v>
      </c>
      <c r="P32">
        <v>0.47</v>
      </c>
      <c r="Q32">
        <v>3624</v>
      </c>
      <c r="T32" t="str">
        <f t="shared" si="0"/>
        <v/>
      </c>
    </row>
    <row r="33" spans="1:20" x14ac:dyDescent="0.3">
      <c r="A33" t="s">
        <v>71</v>
      </c>
      <c r="B33" t="s">
        <v>44</v>
      </c>
      <c r="C33" t="s">
        <v>41</v>
      </c>
      <c r="D33" t="s">
        <v>37</v>
      </c>
      <c r="E33" t="s">
        <v>34</v>
      </c>
      <c r="F33">
        <v>56</v>
      </c>
      <c r="G33">
        <v>14.1</v>
      </c>
      <c r="H33">
        <v>60</v>
      </c>
      <c r="I33">
        <v>19</v>
      </c>
      <c r="J33">
        <v>2</v>
      </c>
      <c r="K33">
        <v>4</v>
      </c>
      <c r="L33">
        <v>4376</v>
      </c>
      <c r="M33">
        <v>17117</v>
      </c>
      <c r="N33">
        <v>4.3</v>
      </c>
      <c r="O33">
        <v>4</v>
      </c>
      <c r="P33">
        <v>0.46</v>
      </c>
      <c r="Q33">
        <v>15200</v>
      </c>
      <c r="T33" t="str">
        <f t="shared" si="0"/>
        <v/>
      </c>
    </row>
    <row r="34" spans="1:20" x14ac:dyDescent="0.3">
      <c r="A34" t="s">
        <v>72</v>
      </c>
      <c r="B34" t="s">
        <v>44</v>
      </c>
      <c r="C34" t="s">
        <v>23</v>
      </c>
      <c r="D34" t="s">
        <v>33</v>
      </c>
      <c r="E34" t="s">
        <v>34</v>
      </c>
      <c r="F34">
        <v>65</v>
      </c>
      <c r="G34">
        <v>12.6</v>
      </c>
      <c r="H34">
        <v>95</v>
      </c>
      <c r="I34">
        <v>72</v>
      </c>
      <c r="J34">
        <v>11</v>
      </c>
      <c r="K34">
        <v>6</v>
      </c>
      <c r="L34">
        <v>6772</v>
      </c>
      <c r="M34">
        <v>41317</v>
      </c>
      <c r="N34">
        <v>4.8</v>
      </c>
      <c r="O34">
        <v>3</v>
      </c>
      <c r="P34">
        <v>0.21</v>
      </c>
      <c r="Q34">
        <v>36689</v>
      </c>
      <c r="T34" t="str">
        <f t="shared" si="0"/>
        <v/>
      </c>
    </row>
    <row r="35" spans="1:20" x14ac:dyDescent="0.3">
      <c r="A35" t="s">
        <v>73</v>
      </c>
      <c r="B35" t="s">
        <v>44</v>
      </c>
      <c r="C35" t="s">
        <v>23</v>
      </c>
      <c r="D35" t="s">
        <v>24</v>
      </c>
      <c r="E35" t="s">
        <v>34</v>
      </c>
      <c r="F35">
        <v>35</v>
      </c>
      <c r="G35">
        <v>14</v>
      </c>
      <c r="H35">
        <v>73</v>
      </c>
      <c r="I35">
        <v>74</v>
      </c>
      <c r="J35">
        <v>26</v>
      </c>
      <c r="K35">
        <v>5</v>
      </c>
      <c r="L35">
        <v>6874</v>
      </c>
      <c r="M35">
        <v>31496</v>
      </c>
      <c r="N35">
        <v>3.9</v>
      </c>
      <c r="O35">
        <v>2</v>
      </c>
      <c r="P35">
        <v>0.33</v>
      </c>
      <c r="Q35">
        <v>27968</v>
      </c>
      <c r="T35" t="str">
        <f t="shared" si="0"/>
        <v/>
      </c>
    </row>
    <row r="36" spans="1:20" x14ac:dyDescent="0.3">
      <c r="A36" t="s">
        <v>74</v>
      </c>
      <c r="B36" t="s">
        <v>40</v>
      </c>
      <c r="C36" t="s">
        <v>23</v>
      </c>
      <c r="D36" t="s">
        <v>37</v>
      </c>
      <c r="E36" t="s">
        <v>25</v>
      </c>
      <c r="F36">
        <v>32</v>
      </c>
      <c r="G36">
        <v>9.3000000000000007</v>
      </c>
      <c r="H36">
        <v>38</v>
      </c>
      <c r="I36">
        <v>69</v>
      </c>
      <c r="J36">
        <v>27</v>
      </c>
      <c r="K36">
        <v>4</v>
      </c>
      <c r="L36">
        <v>2843</v>
      </c>
      <c r="M36">
        <v>11616</v>
      </c>
      <c r="N36">
        <v>4.3</v>
      </c>
      <c r="O36">
        <v>4</v>
      </c>
      <c r="P36">
        <v>0.67</v>
      </c>
      <c r="Q36">
        <v>6607</v>
      </c>
      <c r="T36" t="str">
        <f t="shared" si="0"/>
        <v/>
      </c>
    </row>
    <row r="37" spans="1:20" x14ac:dyDescent="0.3">
      <c r="A37" t="s">
        <v>75</v>
      </c>
      <c r="B37" t="s">
        <v>22</v>
      </c>
      <c r="C37" t="s">
        <v>23</v>
      </c>
      <c r="D37" t="s">
        <v>24</v>
      </c>
      <c r="E37" t="s">
        <v>25</v>
      </c>
      <c r="F37">
        <v>33</v>
      </c>
      <c r="G37">
        <v>3.5</v>
      </c>
      <c r="H37">
        <v>67</v>
      </c>
      <c r="I37">
        <v>78</v>
      </c>
      <c r="J37">
        <v>20</v>
      </c>
      <c r="K37">
        <v>2</v>
      </c>
      <c r="L37">
        <v>1770</v>
      </c>
      <c r="M37">
        <v>3094</v>
      </c>
      <c r="N37">
        <v>3.8</v>
      </c>
      <c r="O37">
        <v>4</v>
      </c>
      <c r="P37">
        <v>0.44</v>
      </c>
      <c r="Q37">
        <v>2061</v>
      </c>
      <c r="T37" t="str">
        <f t="shared" si="0"/>
        <v/>
      </c>
    </row>
    <row r="38" spans="1:20" x14ac:dyDescent="0.3">
      <c r="A38" t="s">
        <v>76</v>
      </c>
      <c r="B38" t="s">
        <v>44</v>
      </c>
      <c r="C38" t="s">
        <v>41</v>
      </c>
      <c r="D38" t="s">
        <v>24</v>
      </c>
      <c r="E38" t="s">
        <v>34</v>
      </c>
      <c r="F38">
        <v>33</v>
      </c>
      <c r="G38">
        <v>8.9</v>
      </c>
      <c r="H38">
        <v>41</v>
      </c>
      <c r="I38">
        <v>39</v>
      </c>
      <c r="J38">
        <v>13</v>
      </c>
      <c r="K38">
        <v>1</v>
      </c>
      <c r="L38">
        <v>2100</v>
      </c>
      <c r="M38">
        <v>2296</v>
      </c>
      <c r="N38">
        <v>4.3</v>
      </c>
      <c r="O38">
        <v>4</v>
      </c>
      <c r="P38">
        <v>0.39</v>
      </c>
      <c r="Q38">
        <v>1830</v>
      </c>
      <c r="T38" t="str">
        <f t="shared" si="0"/>
        <v/>
      </c>
    </row>
    <row r="39" spans="1:20" x14ac:dyDescent="0.3">
      <c r="A39" t="s">
        <v>77</v>
      </c>
      <c r="B39" t="s">
        <v>22</v>
      </c>
      <c r="C39" t="s">
        <v>41</v>
      </c>
      <c r="D39" t="s">
        <v>33</v>
      </c>
      <c r="E39" t="s">
        <v>34</v>
      </c>
      <c r="F39">
        <v>45</v>
      </c>
      <c r="G39">
        <v>14.2</v>
      </c>
      <c r="H39">
        <v>23</v>
      </c>
      <c r="I39">
        <v>51</v>
      </c>
      <c r="J39">
        <v>44</v>
      </c>
      <c r="K39">
        <v>3</v>
      </c>
      <c r="L39">
        <v>4926</v>
      </c>
      <c r="M39">
        <v>16623</v>
      </c>
      <c r="N39">
        <v>3.1</v>
      </c>
      <c r="O39">
        <v>3</v>
      </c>
      <c r="P39">
        <v>0.45</v>
      </c>
      <c r="Q39">
        <v>10976</v>
      </c>
      <c r="T39" t="str">
        <f t="shared" si="0"/>
        <v/>
      </c>
    </row>
    <row r="40" spans="1:20" x14ac:dyDescent="0.3">
      <c r="A40" t="s">
        <v>78</v>
      </c>
      <c r="B40" t="s">
        <v>28</v>
      </c>
      <c r="C40" t="s">
        <v>23</v>
      </c>
      <c r="D40" t="s">
        <v>24</v>
      </c>
      <c r="E40" t="s">
        <v>34</v>
      </c>
      <c r="F40">
        <v>38</v>
      </c>
      <c r="G40">
        <v>10.7</v>
      </c>
      <c r="H40">
        <v>53</v>
      </c>
      <c r="I40">
        <v>83</v>
      </c>
      <c r="J40">
        <v>30</v>
      </c>
      <c r="K40">
        <v>2</v>
      </c>
      <c r="L40">
        <v>4417</v>
      </c>
      <c r="M40">
        <v>7772</v>
      </c>
      <c r="N40">
        <v>3.3</v>
      </c>
      <c r="O40">
        <v>3</v>
      </c>
      <c r="P40">
        <v>0.36</v>
      </c>
      <c r="Q40">
        <v>6377</v>
      </c>
      <c r="T40" t="str">
        <f t="shared" si="0"/>
        <v/>
      </c>
    </row>
    <row r="41" spans="1:20" x14ac:dyDescent="0.3">
      <c r="A41" t="s">
        <v>79</v>
      </c>
      <c r="B41" t="s">
        <v>44</v>
      </c>
      <c r="C41" t="s">
        <v>23</v>
      </c>
      <c r="D41" t="s">
        <v>37</v>
      </c>
      <c r="E41" t="s">
        <v>25</v>
      </c>
      <c r="F41">
        <v>49</v>
      </c>
      <c r="G41">
        <v>3.6</v>
      </c>
      <c r="H41">
        <v>28</v>
      </c>
      <c r="I41">
        <v>64</v>
      </c>
      <c r="J41">
        <v>52</v>
      </c>
      <c r="K41">
        <v>4</v>
      </c>
      <c r="L41">
        <v>900</v>
      </c>
      <c r="M41">
        <v>4008</v>
      </c>
      <c r="N41">
        <v>3.7</v>
      </c>
      <c r="O41">
        <v>3</v>
      </c>
      <c r="P41">
        <v>0.19</v>
      </c>
      <c r="Q41">
        <v>2009</v>
      </c>
      <c r="T41" t="str">
        <f t="shared" si="0"/>
        <v/>
      </c>
    </row>
    <row r="42" spans="1:20" x14ac:dyDescent="0.3">
      <c r="A42" t="s">
        <v>80</v>
      </c>
      <c r="B42" t="s">
        <v>22</v>
      </c>
      <c r="C42" t="s">
        <v>23</v>
      </c>
      <c r="D42" t="s">
        <v>37</v>
      </c>
      <c r="E42" t="s">
        <v>25</v>
      </c>
      <c r="F42">
        <v>57</v>
      </c>
      <c r="G42">
        <v>11.4</v>
      </c>
      <c r="H42">
        <v>68</v>
      </c>
      <c r="I42">
        <v>47</v>
      </c>
      <c r="J42">
        <v>2</v>
      </c>
      <c r="K42">
        <v>3</v>
      </c>
      <c r="L42">
        <v>2757</v>
      </c>
      <c r="M42">
        <v>8255</v>
      </c>
      <c r="N42">
        <v>3.9</v>
      </c>
      <c r="O42">
        <v>4</v>
      </c>
      <c r="P42">
        <v>0.57999999999999996</v>
      </c>
      <c r="Q42">
        <v>5498</v>
      </c>
      <c r="T42" t="str">
        <f t="shared" si="0"/>
        <v/>
      </c>
    </row>
    <row r="43" spans="1:20" x14ac:dyDescent="0.3">
      <c r="A43" t="s">
        <v>81</v>
      </c>
      <c r="B43" t="s">
        <v>22</v>
      </c>
      <c r="C43" t="s">
        <v>23</v>
      </c>
      <c r="D43" t="s">
        <v>37</v>
      </c>
      <c r="E43" t="s">
        <v>50</v>
      </c>
      <c r="F43">
        <v>38</v>
      </c>
      <c r="G43">
        <v>23.4</v>
      </c>
      <c r="H43">
        <v>56</v>
      </c>
      <c r="I43">
        <v>62</v>
      </c>
      <c r="J43">
        <v>23</v>
      </c>
      <c r="K43">
        <v>5</v>
      </c>
      <c r="L43">
        <v>15100</v>
      </c>
      <c r="M43">
        <v>64386</v>
      </c>
      <c r="N43">
        <v>3.5</v>
      </c>
      <c r="O43">
        <v>2</v>
      </c>
      <c r="P43">
        <v>0.1</v>
      </c>
      <c r="Q43">
        <v>72679</v>
      </c>
      <c r="T43" t="str">
        <f t="shared" si="0"/>
        <v/>
      </c>
    </row>
    <row r="44" spans="1:20" x14ac:dyDescent="0.3">
      <c r="A44" t="s">
        <v>82</v>
      </c>
      <c r="B44" t="s">
        <v>22</v>
      </c>
      <c r="C44" t="s">
        <v>41</v>
      </c>
      <c r="D44" t="s">
        <v>24</v>
      </c>
      <c r="E44" t="s">
        <v>25</v>
      </c>
      <c r="F44">
        <v>21</v>
      </c>
      <c r="G44">
        <v>8.8000000000000007</v>
      </c>
      <c r="H44">
        <v>73</v>
      </c>
      <c r="I44">
        <v>77</v>
      </c>
      <c r="J44">
        <v>2</v>
      </c>
      <c r="K44">
        <v>5</v>
      </c>
      <c r="L44">
        <v>3259</v>
      </c>
      <c r="M44">
        <v>17600</v>
      </c>
      <c r="N44">
        <v>4.2</v>
      </c>
      <c r="O44">
        <v>4</v>
      </c>
      <c r="P44">
        <v>0.47</v>
      </c>
      <c r="Q44">
        <v>11722</v>
      </c>
      <c r="T44" t="str">
        <f t="shared" si="0"/>
        <v/>
      </c>
    </row>
    <row r="45" spans="1:20" x14ac:dyDescent="0.3">
      <c r="A45" t="s">
        <v>83</v>
      </c>
      <c r="B45" t="s">
        <v>28</v>
      </c>
      <c r="C45" t="s">
        <v>23</v>
      </c>
      <c r="D45" t="s">
        <v>24</v>
      </c>
      <c r="E45" t="s">
        <v>25</v>
      </c>
      <c r="F45">
        <v>23</v>
      </c>
      <c r="G45">
        <v>6.9</v>
      </c>
      <c r="H45">
        <v>59</v>
      </c>
      <c r="I45">
        <v>88</v>
      </c>
      <c r="J45">
        <v>10</v>
      </c>
      <c r="K45">
        <v>3</v>
      </c>
      <c r="L45">
        <v>4116</v>
      </c>
      <c r="M45">
        <v>14093</v>
      </c>
      <c r="N45">
        <v>4.5999999999999996</v>
      </c>
      <c r="O45">
        <v>5</v>
      </c>
      <c r="P45">
        <v>0.56000000000000005</v>
      </c>
      <c r="Q45">
        <v>9338</v>
      </c>
      <c r="T45" t="str">
        <f t="shared" si="0"/>
        <v/>
      </c>
    </row>
    <row r="46" spans="1:20" x14ac:dyDescent="0.3">
      <c r="A46" t="s">
        <v>84</v>
      </c>
      <c r="B46" t="s">
        <v>44</v>
      </c>
      <c r="C46" t="s">
        <v>41</v>
      </c>
      <c r="D46" t="s">
        <v>24</v>
      </c>
      <c r="E46" t="s">
        <v>50</v>
      </c>
      <c r="F46">
        <v>44</v>
      </c>
      <c r="G46">
        <v>14.7</v>
      </c>
      <c r="H46">
        <v>35</v>
      </c>
      <c r="I46">
        <v>51</v>
      </c>
      <c r="J46">
        <v>4</v>
      </c>
      <c r="K46">
        <v>4</v>
      </c>
      <c r="L46">
        <v>9847</v>
      </c>
      <c r="M46">
        <v>34647</v>
      </c>
      <c r="N46">
        <v>3.2</v>
      </c>
      <c r="O46">
        <v>2</v>
      </c>
      <c r="P46">
        <v>0.21</v>
      </c>
      <c r="Q46">
        <v>36324</v>
      </c>
      <c r="T46" t="str">
        <f t="shared" si="0"/>
        <v/>
      </c>
    </row>
    <row r="47" spans="1:20" x14ac:dyDescent="0.3">
      <c r="A47" t="s">
        <v>85</v>
      </c>
      <c r="B47" t="s">
        <v>22</v>
      </c>
      <c r="C47" t="s">
        <v>32</v>
      </c>
      <c r="D47" t="s">
        <v>33</v>
      </c>
      <c r="E47" t="s">
        <v>25</v>
      </c>
      <c r="F47">
        <v>42</v>
      </c>
      <c r="G47">
        <v>6.5</v>
      </c>
      <c r="H47">
        <v>70</v>
      </c>
      <c r="I47">
        <v>48</v>
      </c>
      <c r="J47">
        <v>22</v>
      </c>
      <c r="K47">
        <v>3</v>
      </c>
      <c r="L47">
        <v>4420</v>
      </c>
      <c r="M47">
        <v>11630</v>
      </c>
      <c r="N47">
        <v>4.7</v>
      </c>
      <c r="O47">
        <v>5</v>
      </c>
      <c r="P47">
        <v>0.42</v>
      </c>
      <c r="Q47">
        <v>7746</v>
      </c>
      <c r="T47" t="str">
        <f t="shared" si="0"/>
        <v/>
      </c>
    </row>
    <row r="48" spans="1:20" x14ac:dyDescent="0.3">
      <c r="A48" t="s">
        <v>86</v>
      </c>
      <c r="B48" t="s">
        <v>40</v>
      </c>
      <c r="C48" t="s">
        <v>23</v>
      </c>
      <c r="D48" t="s">
        <v>33</v>
      </c>
      <c r="E48" t="s">
        <v>50</v>
      </c>
      <c r="F48">
        <v>47</v>
      </c>
      <c r="G48">
        <v>13.8</v>
      </c>
      <c r="H48">
        <v>46</v>
      </c>
      <c r="I48">
        <v>69</v>
      </c>
      <c r="J48">
        <v>6</v>
      </c>
      <c r="K48">
        <v>6</v>
      </c>
      <c r="L48">
        <v>3842</v>
      </c>
      <c r="M48">
        <v>20879</v>
      </c>
      <c r="N48">
        <v>4.5999999999999996</v>
      </c>
      <c r="O48">
        <v>3</v>
      </c>
      <c r="P48">
        <v>0.24</v>
      </c>
      <c r="Q48">
        <v>23167</v>
      </c>
      <c r="T48" t="str">
        <f t="shared" si="0"/>
        <v/>
      </c>
    </row>
    <row r="49" spans="1:20" x14ac:dyDescent="0.3">
      <c r="A49" t="s">
        <v>87</v>
      </c>
      <c r="B49" t="s">
        <v>28</v>
      </c>
      <c r="C49" t="s">
        <v>29</v>
      </c>
      <c r="D49" t="s">
        <v>37</v>
      </c>
      <c r="E49" t="s">
        <v>34</v>
      </c>
      <c r="F49">
        <v>32</v>
      </c>
      <c r="G49">
        <v>10.3</v>
      </c>
      <c r="H49">
        <v>60</v>
      </c>
      <c r="I49">
        <v>48</v>
      </c>
      <c r="J49">
        <v>23</v>
      </c>
      <c r="K49">
        <v>4</v>
      </c>
      <c r="L49">
        <v>4967</v>
      </c>
      <c r="M49">
        <v>19912</v>
      </c>
      <c r="N49">
        <v>4.4000000000000004</v>
      </c>
      <c r="O49">
        <v>2</v>
      </c>
      <c r="P49">
        <v>0.08</v>
      </c>
      <c r="Q49">
        <v>17216</v>
      </c>
      <c r="T49" t="str">
        <f t="shared" si="0"/>
        <v/>
      </c>
    </row>
    <row r="50" spans="1:20" x14ac:dyDescent="0.3">
      <c r="A50" t="s">
        <v>88</v>
      </c>
      <c r="B50" t="s">
        <v>40</v>
      </c>
      <c r="C50" t="s">
        <v>29</v>
      </c>
      <c r="D50" t="s">
        <v>24</v>
      </c>
      <c r="E50" t="s">
        <v>34</v>
      </c>
      <c r="F50">
        <v>45</v>
      </c>
      <c r="G50">
        <v>11.1</v>
      </c>
      <c r="H50">
        <v>48</v>
      </c>
      <c r="I50">
        <v>30</v>
      </c>
      <c r="J50">
        <v>2</v>
      </c>
      <c r="K50">
        <v>3</v>
      </c>
      <c r="L50">
        <v>6513</v>
      </c>
      <c r="M50">
        <v>17466</v>
      </c>
      <c r="N50">
        <v>4.8</v>
      </c>
      <c r="O50">
        <v>2</v>
      </c>
      <c r="P50">
        <v>0.28000000000000003</v>
      </c>
      <c r="Q50">
        <v>14818</v>
      </c>
      <c r="T50" t="str">
        <f t="shared" si="0"/>
        <v/>
      </c>
    </row>
    <row r="51" spans="1:20" x14ac:dyDescent="0.3">
      <c r="A51" t="s">
        <v>89</v>
      </c>
      <c r="B51" t="s">
        <v>28</v>
      </c>
      <c r="C51" t="s">
        <v>23</v>
      </c>
      <c r="D51" t="s">
        <v>37</v>
      </c>
      <c r="E51" t="s">
        <v>25</v>
      </c>
      <c r="F51">
        <v>29</v>
      </c>
      <c r="G51">
        <v>6.6</v>
      </c>
      <c r="H51">
        <v>60</v>
      </c>
      <c r="I51">
        <v>69</v>
      </c>
      <c r="J51">
        <v>16</v>
      </c>
      <c r="K51">
        <v>4</v>
      </c>
      <c r="L51">
        <v>3131</v>
      </c>
      <c r="M51">
        <v>12060</v>
      </c>
      <c r="N51">
        <v>4.3</v>
      </c>
      <c r="O51">
        <v>3</v>
      </c>
      <c r="P51">
        <v>0.38</v>
      </c>
      <c r="Q51">
        <v>7934</v>
      </c>
      <c r="T51" t="str">
        <f t="shared" si="0"/>
        <v/>
      </c>
    </row>
    <row r="52" spans="1:20" x14ac:dyDescent="0.3">
      <c r="A52" t="s">
        <v>90</v>
      </c>
      <c r="B52" t="s">
        <v>22</v>
      </c>
      <c r="C52" t="s">
        <v>32</v>
      </c>
      <c r="D52" t="s">
        <v>46</v>
      </c>
      <c r="E52" t="s">
        <v>50</v>
      </c>
      <c r="F52">
        <v>48</v>
      </c>
      <c r="G52">
        <v>20.8</v>
      </c>
      <c r="H52">
        <v>55</v>
      </c>
      <c r="I52">
        <v>72</v>
      </c>
      <c r="J52">
        <v>45</v>
      </c>
      <c r="K52">
        <v>5</v>
      </c>
      <c r="L52">
        <v>11739</v>
      </c>
      <c r="M52">
        <v>67494</v>
      </c>
      <c r="N52">
        <v>3.8</v>
      </c>
      <c r="O52">
        <v>2</v>
      </c>
      <c r="P52">
        <v>0.36</v>
      </c>
      <c r="Q52">
        <v>72219</v>
      </c>
      <c r="T52" t="str">
        <f t="shared" si="0"/>
        <v/>
      </c>
    </row>
    <row r="53" spans="1:20" x14ac:dyDescent="0.3">
      <c r="A53" t="s">
        <v>91</v>
      </c>
      <c r="B53" t="s">
        <v>44</v>
      </c>
      <c r="C53" t="s">
        <v>23</v>
      </c>
      <c r="D53" t="s">
        <v>33</v>
      </c>
      <c r="E53" t="s">
        <v>25</v>
      </c>
      <c r="F53">
        <v>27</v>
      </c>
      <c r="G53">
        <v>5.6</v>
      </c>
      <c r="H53">
        <v>53</v>
      </c>
      <c r="I53">
        <v>81</v>
      </c>
      <c r="J53">
        <v>47</v>
      </c>
      <c r="K53">
        <v>4</v>
      </c>
      <c r="L53">
        <v>1136</v>
      </c>
      <c r="M53">
        <v>5223</v>
      </c>
      <c r="N53">
        <v>3.9</v>
      </c>
      <c r="O53">
        <v>4</v>
      </c>
      <c r="P53">
        <v>0.55000000000000004</v>
      </c>
      <c r="Q53">
        <v>3094</v>
      </c>
      <c r="T53" t="str">
        <f t="shared" si="0"/>
        <v/>
      </c>
    </row>
    <row r="54" spans="1:20" x14ac:dyDescent="0.3">
      <c r="A54" t="s">
        <v>92</v>
      </c>
      <c r="B54" t="s">
        <v>28</v>
      </c>
      <c r="C54" t="s">
        <v>23</v>
      </c>
      <c r="D54" t="s">
        <v>33</v>
      </c>
      <c r="E54" t="s">
        <v>50</v>
      </c>
      <c r="F54">
        <v>38</v>
      </c>
      <c r="G54">
        <v>22.4</v>
      </c>
      <c r="H54">
        <v>73</v>
      </c>
      <c r="I54">
        <v>69</v>
      </c>
      <c r="J54">
        <v>2</v>
      </c>
      <c r="K54">
        <v>2</v>
      </c>
      <c r="L54">
        <v>19900</v>
      </c>
      <c r="M54">
        <v>44617</v>
      </c>
      <c r="N54">
        <v>5</v>
      </c>
      <c r="O54">
        <v>1</v>
      </c>
      <c r="P54">
        <v>0.09</v>
      </c>
      <c r="Q54">
        <v>52827</v>
      </c>
      <c r="T54" t="str">
        <f t="shared" si="0"/>
        <v/>
      </c>
    </row>
    <row r="55" spans="1:20" x14ac:dyDescent="0.3">
      <c r="A55" t="s">
        <v>93</v>
      </c>
      <c r="B55" t="s">
        <v>28</v>
      </c>
      <c r="C55" t="s">
        <v>23</v>
      </c>
      <c r="D55" t="s">
        <v>46</v>
      </c>
      <c r="E55" t="s">
        <v>25</v>
      </c>
      <c r="F55">
        <v>32</v>
      </c>
      <c r="G55">
        <v>6.9</v>
      </c>
      <c r="H55">
        <v>77</v>
      </c>
      <c r="I55">
        <v>62</v>
      </c>
      <c r="J55">
        <v>2</v>
      </c>
      <c r="K55">
        <v>6</v>
      </c>
      <c r="L55">
        <v>3913</v>
      </c>
      <c r="M55">
        <v>26548</v>
      </c>
      <c r="N55">
        <v>4.8</v>
      </c>
      <c r="O55">
        <v>4</v>
      </c>
      <c r="P55">
        <v>0.27</v>
      </c>
      <c r="Q55">
        <v>17681</v>
      </c>
      <c r="T55" t="str">
        <f t="shared" si="0"/>
        <v/>
      </c>
    </row>
    <row r="56" spans="1:20" x14ac:dyDescent="0.3">
      <c r="A56" t="s">
        <v>94</v>
      </c>
      <c r="B56" t="s">
        <v>28</v>
      </c>
      <c r="C56" t="s">
        <v>23</v>
      </c>
      <c r="D56" t="s">
        <v>46</v>
      </c>
      <c r="E56" t="s">
        <v>50</v>
      </c>
      <c r="F56">
        <v>34</v>
      </c>
      <c r="G56">
        <v>26.3</v>
      </c>
      <c r="H56">
        <v>67</v>
      </c>
      <c r="I56">
        <v>66</v>
      </c>
      <c r="J56">
        <v>18</v>
      </c>
      <c r="K56">
        <v>4</v>
      </c>
      <c r="L56">
        <v>17035</v>
      </c>
      <c r="M56">
        <v>58643</v>
      </c>
      <c r="N56">
        <v>4.4000000000000004</v>
      </c>
      <c r="O56">
        <v>2</v>
      </c>
      <c r="P56">
        <v>0.38</v>
      </c>
      <c r="Q56">
        <v>69433</v>
      </c>
      <c r="T56" t="str">
        <f t="shared" si="0"/>
        <v/>
      </c>
    </row>
    <row r="57" spans="1:20" x14ac:dyDescent="0.3">
      <c r="A57" t="s">
        <v>95</v>
      </c>
      <c r="B57" t="s">
        <v>44</v>
      </c>
      <c r="C57" t="s">
        <v>29</v>
      </c>
      <c r="D57" t="s">
        <v>37</v>
      </c>
      <c r="E57" t="s">
        <v>34</v>
      </c>
      <c r="F57">
        <v>32</v>
      </c>
      <c r="G57">
        <v>8.3000000000000007</v>
      </c>
      <c r="H57">
        <v>44</v>
      </c>
      <c r="I57">
        <v>61</v>
      </c>
      <c r="J57">
        <v>34</v>
      </c>
      <c r="K57">
        <v>3</v>
      </c>
      <c r="L57">
        <v>3229</v>
      </c>
      <c r="M57">
        <v>10876</v>
      </c>
      <c r="N57">
        <v>3.6</v>
      </c>
      <c r="O57">
        <v>2</v>
      </c>
      <c r="P57">
        <v>0.38</v>
      </c>
      <c r="Q57">
        <v>8405</v>
      </c>
      <c r="T57" t="str">
        <f t="shared" si="0"/>
        <v/>
      </c>
    </row>
    <row r="58" spans="1:20" x14ac:dyDescent="0.3">
      <c r="A58" t="s">
        <v>96</v>
      </c>
      <c r="B58" t="s">
        <v>28</v>
      </c>
      <c r="C58" t="s">
        <v>32</v>
      </c>
      <c r="D58" t="s">
        <v>37</v>
      </c>
      <c r="E58" t="s">
        <v>25</v>
      </c>
      <c r="F58">
        <v>23</v>
      </c>
      <c r="G58">
        <v>8.1</v>
      </c>
      <c r="H58">
        <v>60</v>
      </c>
      <c r="I58">
        <v>74</v>
      </c>
      <c r="J58">
        <v>54</v>
      </c>
      <c r="K58">
        <v>3</v>
      </c>
      <c r="L58">
        <v>3266</v>
      </c>
      <c r="M58">
        <v>9500</v>
      </c>
      <c r="N58">
        <v>4.7</v>
      </c>
      <c r="O58">
        <v>5</v>
      </c>
      <c r="P58">
        <v>0.59</v>
      </c>
      <c r="Q58">
        <v>5763</v>
      </c>
      <c r="T58" t="str">
        <f t="shared" si="0"/>
        <v/>
      </c>
    </row>
    <row r="59" spans="1:20" x14ac:dyDescent="0.3">
      <c r="A59" t="s">
        <v>97</v>
      </c>
      <c r="B59" t="s">
        <v>40</v>
      </c>
      <c r="C59" t="s">
        <v>23</v>
      </c>
      <c r="D59" t="s">
        <v>24</v>
      </c>
      <c r="E59" t="s">
        <v>25</v>
      </c>
      <c r="F59">
        <v>18</v>
      </c>
      <c r="G59">
        <v>9.5</v>
      </c>
      <c r="H59">
        <v>74</v>
      </c>
      <c r="I59">
        <v>98</v>
      </c>
      <c r="J59">
        <v>26</v>
      </c>
      <c r="K59">
        <v>4</v>
      </c>
      <c r="L59">
        <v>4060</v>
      </c>
      <c r="M59">
        <v>17669</v>
      </c>
      <c r="N59">
        <v>4.0999999999999996</v>
      </c>
      <c r="O59">
        <v>4</v>
      </c>
      <c r="P59">
        <v>0.35</v>
      </c>
      <c r="Q59">
        <v>11768</v>
      </c>
      <c r="T59" t="str">
        <f t="shared" si="0"/>
        <v/>
      </c>
    </row>
    <row r="60" spans="1:20" x14ac:dyDescent="0.3">
      <c r="A60" t="s">
        <v>98</v>
      </c>
      <c r="B60" t="s">
        <v>40</v>
      </c>
      <c r="C60" t="s">
        <v>32</v>
      </c>
      <c r="D60" t="s">
        <v>24</v>
      </c>
      <c r="E60" t="s">
        <v>34</v>
      </c>
      <c r="F60">
        <v>33</v>
      </c>
      <c r="G60">
        <v>8.3000000000000007</v>
      </c>
      <c r="H60">
        <v>59</v>
      </c>
      <c r="I60">
        <v>67</v>
      </c>
      <c r="J60">
        <v>21</v>
      </c>
      <c r="K60">
        <v>5</v>
      </c>
      <c r="L60">
        <v>3949</v>
      </c>
      <c r="M60">
        <v>22493</v>
      </c>
      <c r="N60">
        <v>4.3</v>
      </c>
      <c r="O60">
        <v>2</v>
      </c>
      <c r="P60">
        <v>0.14000000000000001</v>
      </c>
      <c r="Q60">
        <v>19427</v>
      </c>
      <c r="T60" t="str">
        <f t="shared" si="0"/>
        <v/>
      </c>
    </row>
    <row r="61" spans="1:20" x14ac:dyDescent="0.3">
      <c r="A61" t="s">
        <v>99</v>
      </c>
      <c r="B61" t="s">
        <v>22</v>
      </c>
      <c r="C61" t="s">
        <v>23</v>
      </c>
      <c r="D61" t="s">
        <v>33</v>
      </c>
      <c r="E61" t="s">
        <v>25</v>
      </c>
      <c r="F61">
        <v>26</v>
      </c>
      <c r="G61">
        <v>5.8</v>
      </c>
      <c r="H61">
        <v>71</v>
      </c>
      <c r="I61">
        <v>96</v>
      </c>
      <c r="J61">
        <v>49</v>
      </c>
      <c r="K61">
        <v>3</v>
      </c>
      <c r="L61">
        <v>1629</v>
      </c>
      <c r="M61">
        <v>4598</v>
      </c>
      <c r="N61">
        <v>4.5</v>
      </c>
      <c r="O61">
        <v>4</v>
      </c>
      <c r="P61">
        <v>0.52</v>
      </c>
      <c r="Q61">
        <v>2991</v>
      </c>
      <c r="T61" t="str">
        <f t="shared" si="0"/>
        <v/>
      </c>
    </row>
    <row r="62" spans="1:20" x14ac:dyDescent="0.3">
      <c r="A62" t="s">
        <v>100</v>
      </c>
      <c r="B62" t="s">
        <v>28</v>
      </c>
      <c r="C62" t="s">
        <v>41</v>
      </c>
      <c r="D62" t="s">
        <v>24</v>
      </c>
      <c r="E62" t="s">
        <v>50</v>
      </c>
      <c r="F62">
        <v>52</v>
      </c>
      <c r="G62">
        <v>21.9</v>
      </c>
      <c r="H62">
        <v>70</v>
      </c>
      <c r="I62">
        <v>28</v>
      </c>
      <c r="J62">
        <v>25</v>
      </c>
      <c r="K62">
        <v>2</v>
      </c>
      <c r="L62">
        <v>21151</v>
      </c>
      <c r="M62">
        <v>43819</v>
      </c>
      <c r="N62">
        <v>4.4000000000000004</v>
      </c>
      <c r="O62">
        <v>2</v>
      </c>
      <c r="P62">
        <v>0.05</v>
      </c>
      <c r="Q62">
        <v>51882</v>
      </c>
      <c r="T62" t="str">
        <f t="shared" si="0"/>
        <v/>
      </c>
    </row>
    <row r="63" spans="1:20" x14ac:dyDescent="0.3">
      <c r="A63" t="s">
        <v>101</v>
      </c>
      <c r="B63" t="s">
        <v>22</v>
      </c>
      <c r="C63" t="s">
        <v>23</v>
      </c>
      <c r="D63" t="s">
        <v>24</v>
      </c>
      <c r="E63" t="s">
        <v>34</v>
      </c>
      <c r="F63">
        <v>18</v>
      </c>
      <c r="G63">
        <v>14.9</v>
      </c>
      <c r="H63">
        <v>69</v>
      </c>
      <c r="I63">
        <v>94</v>
      </c>
      <c r="J63">
        <v>2</v>
      </c>
      <c r="K63">
        <v>4</v>
      </c>
      <c r="L63">
        <v>4140</v>
      </c>
      <c r="M63">
        <v>15822</v>
      </c>
      <c r="N63">
        <v>4.0999999999999996</v>
      </c>
      <c r="O63">
        <v>3</v>
      </c>
      <c r="P63">
        <v>0.36</v>
      </c>
      <c r="Q63">
        <v>14050</v>
      </c>
      <c r="T63" t="str">
        <f t="shared" si="0"/>
        <v/>
      </c>
    </row>
    <row r="64" spans="1:20" x14ac:dyDescent="0.3">
      <c r="A64" t="s">
        <v>102</v>
      </c>
      <c r="B64" t="s">
        <v>44</v>
      </c>
      <c r="C64" t="s">
        <v>23</v>
      </c>
      <c r="D64" t="s">
        <v>33</v>
      </c>
      <c r="E64" t="s">
        <v>25</v>
      </c>
      <c r="F64">
        <v>36</v>
      </c>
      <c r="G64">
        <v>7</v>
      </c>
      <c r="H64">
        <v>87</v>
      </c>
      <c r="I64">
        <v>70</v>
      </c>
      <c r="J64">
        <v>37</v>
      </c>
      <c r="K64">
        <v>6</v>
      </c>
      <c r="L64">
        <v>2392</v>
      </c>
      <c r="M64">
        <v>15723</v>
      </c>
      <c r="N64">
        <v>4.3</v>
      </c>
      <c r="O64">
        <v>4</v>
      </c>
      <c r="P64">
        <v>0.36</v>
      </c>
      <c r="Q64">
        <v>10472</v>
      </c>
      <c r="T64" t="str">
        <f t="shared" si="0"/>
        <v/>
      </c>
    </row>
    <row r="65" spans="1:20" x14ac:dyDescent="0.3">
      <c r="A65" t="s">
        <v>103</v>
      </c>
      <c r="B65" t="s">
        <v>28</v>
      </c>
      <c r="C65" t="s">
        <v>23</v>
      </c>
      <c r="D65" t="s">
        <v>24</v>
      </c>
      <c r="E65" t="s">
        <v>50</v>
      </c>
      <c r="F65">
        <v>53</v>
      </c>
      <c r="G65">
        <v>21.1</v>
      </c>
      <c r="H65">
        <v>64</v>
      </c>
      <c r="I65">
        <v>88</v>
      </c>
      <c r="J65">
        <v>33</v>
      </c>
      <c r="K65">
        <v>2</v>
      </c>
      <c r="L65">
        <v>13415</v>
      </c>
      <c r="M65">
        <v>27806</v>
      </c>
      <c r="N65">
        <v>4.7</v>
      </c>
      <c r="O65">
        <v>2</v>
      </c>
      <c r="P65">
        <v>0.23</v>
      </c>
      <c r="Q65">
        <v>32055</v>
      </c>
      <c r="T65" t="str">
        <f t="shared" si="0"/>
        <v/>
      </c>
    </row>
    <row r="66" spans="1:20" x14ac:dyDescent="0.3">
      <c r="A66" t="s">
        <v>104</v>
      </c>
      <c r="B66" t="s">
        <v>28</v>
      </c>
      <c r="C66" t="s">
        <v>41</v>
      </c>
      <c r="D66" t="s">
        <v>37</v>
      </c>
      <c r="E66" t="s">
        <v>25</v>
      </c>
      <c r="F66">
        <v>39</v>
      </c>
      <c r="G66">
        <v>5.8</v>
      </c>
      <c r="H66">
        <v>37</v>
      </c>
      <c r="I66">
        <v>42</v>
      </c>
      <c r="J66">
        <v>86</v>
      </c>
      <c r="K66">
        <v>3</v>
      </c>
      <c r="L66">
        <v>2117</v>
      </c>
      <c r="M66">
        <v>5772</v>
      </c>
      <c r="N66">
        <v>3.7</v>
      </c>
      <c r="O66">
        <v>4</v>
      </c>
      <c r="P66">
        <v>0.35</v>
      </c>
      <c r="Q66">
        <v>2804</v>
      </c>
      <c r="T66" t="str">
        <f t="shared" ref="T66:T129" si="1">IF(R66="Premium Loyalists","VIP access + premium bundle",IF(R66="Digital Deal Seekers","Limited-time online coupon",IF(R66="High Potential","Onboarding + cross-sell",IF(R66="At-Risk High Value","Win-back concierge call",IF(R66="Value Regulars","Subscribe &amp; save","") ))))</f>
        <v/>
      </c>
    </row>
    <row r="67" spans="1:20" x14ac:dyDescent="0.3">
      <c r="A67" t="s">
        <v>105</v>
      </c>
      <c r="B67" t="s">
        <v>28</v>
      </c>
      <c r="C67" t="s">
        <v>29</v>
      </c>
      <c r="D67" t="s">
        <v>33</v>
      </c>
      <c r="E67" t="s">
        <v>25</v>
      </c>
      <c r="F67">
        <v>38</v>
      </c>
      <c r="G67">
        <v>7.6</v>
      </c>
      <c r="H67">
        <v>52</v>
      </c>
      <c r="I67">
        <v>48</v>
      </c>
      <c r="J67">
        <v>34</v>
      </c>
      <c r="K67">
        <v>3</v>
      </c>
      <c r="L67">
        <v>3256</v>
      </c>
      <c r="M67">
        <v>9465</v>
      </c>
      <c r="N67">
        <v>3.4</v>
      </c>
      <c r="O67">
        <v>4</v>
      </c>
      <c r="P67">
        <v>0.64</v>
      </c>
      <c r="Q67">
        <v>5741</v>
      </c>
      <c r="T67" t="str">
        <f t="shared" si="1"/>
        <v/>
      </c>
    </row>
    <row r="68" spans="1:20" x14ac:dyDescent="0.3">
      <c r="A68" t="s">
        <v>106</v>
      </c>
      <c r="B68" t="s">
        <v>44</v>
      </c>
      <c r="C68" t="s">
        <v>29</v>
      </c>
      <c r="D68" t="s">
        <v>33</v>
      </c>
      <c r="E68" t="s">
        <v>25</v>
      </c>
      <c r="F68">
        <v>27</v>
      </c>
      <c r="G68">
        <v>4.0999999999999996</v>
      </c>
      <c r="H68">
        <v>62</v>
      </c>
      <c r="I68">
        <v>72</v>
      </c>
      <c r="J68">
        <v>60</v>
      </c>
      <c r="K68">
        <v>4</v>
      </c>
      <c r="L68">
        <v>2318</v>
      </c>
      <c r="M68">
        <v>9195</v>
      </c>
      <c r="N68">
        <v>3.8</v>
      </c>
      <c r="O68">
        <v>4</v>
      </c>
      <c r="P68">
        <v>0.35</v>
      </c>
      <c r="Q68">
        <v>5565</v>
      </c>
      <c r="T68" t="str">
        <f t="shared" si="1"/>
        <v/>
      </c>
    </row>
    <row r="69" spans="1:20" x14ac:dyDescent="0.3">
      <c r="A69" t="s">
        <v>107</v>
      </c>
      <c r="B69" t="s">
        <v>40</v>
      </c>
      <c r="C69" t="s">
        <v>23</v>
      </c>
      <c r="D69" t="s">
        <v>33</v>
      </c>
      <c r="E69" t="s">
        <v>50</v>
      </c>
      <c r="F69">
        <v>35</v>
      </c>
      <c r="G69">
        <v>28</v>
      </c>
      <c r="H69">
        <v>69</v>
      </c>
      <c r="I69">
        <v>64</v>
      </c>
      <c r="J69">
        <v>65</v>
      </c>
      <c r="K69">
        <v>6</v>
      </c>
      <c r="L69">
        <v>15187</v>
      </c>
      <c r="M69">
        <v>90445</v>
      </c>
      <c r="N69">
        <v>5</v>
      </c>
      <c r="O69">
        <v>2</v>
      </c>
      <c r="P69">
        <v>0.26</v>
      </c>
      <c r="Q69">
        <v>100032</v>
      </c>
      <c r="T69" t="str">
        <f t="shared" si="1"/>
        <v/>
      </c>
    </row>
    <row r="70" spans="1:20" x14ac:dyDescent="0.3">
      <c r="A70" t="s">
        <v>108</v>
      </c>
      <c r="B70" t="s">
        <v>22</v>
      </c>
      <c r="C70" t="s">
        <v>41</v>
      </c>
      <c r="D70" t="s">
        <v>46</v>
      </c>
      <c r="E70" t="s">
        <v>34</v>
      </c>
      <c r="F70">
        <v>40</v>
      </c>
      <c r="G70">
        <v>13.2</v>
      </c>
      <c r="H70">
        <v>49</v>
      </c>
      <c r="I70">
        <v>49</v>
      </c>
      <c r="J70">
        <v>2</v>
      </c>
      <c r="K70">
        <v>3</v>
      </c>
      <c r="L70">
        <v>6388</v>
      </c>
      <c r="M70">
        <v>16489</v>
      </c>
      <c r="N70">
        <v>4.4000000000000004</v>
      </c>
      <c r="O70">
        <v>4</v>
      </c>
      <c r="P70">
        <v>0.47</v>
      </c>
      <c r="Q70">
        <v>14063</v>
      </c>
      <c r="T70" t="str">
        <f t="shared" si="1"/>
        <v/>
      </c>
    </row>
    <row r="71" spans="1:20" x14ac:dyDescent="0.3">
      <c r="A71" t="s">
        <v>109</v>
      </c>
      <c r="B71" t="s">
        <v>40</v>
      </c>
      <c r="C71" t="s">
        <v>23</v>
      </c>
      <c r="D71" t="s">
        <v>37</v>
      </c>
      <c r="E71" t="s">
        <v>34</v>
      </c>
      <c r="F71">
        <v>40</v>
      </c>
      <c r="G71">
        <v>8.8000000000000007</v>
      </c>
      <c r="H71">
        <v>50</v>
      </c>
      <c r="I71">
        <v>65</v>
      </c>
      <c r="J71">
        <v>54</v>
      </c>
      <c r="K71">
        <v>3</v>
      </c>
      <c r="L71">
        <v>5852</v>
      </c>
      <c r="M71">
        <v>17574</v>
      </c>
      <c r="N71">
        <v>3.2</v>
      </c>
      <c r="O71">
        <v>2</v>
      </c>
      <c r="P71">
        <v>0.3</v>
      </c>
      <c r="Q71">
        <v>13423</v>
      </c>
      <c r="T71" t="str">
        <f t="shared" si="1"/>
        <v/>
      </c>
    </row>
    <row r="72" spans="1:20" x14ac:dyDescent="0.3">
      <c r="A72" t="s">
        <v>110</v>
      </c>
      <c r="B72" t="s">
        <v>28</v>
      </c>
      <c r="C72" t="s">
        <v>23</v>
      </c>
      <c r="D72" t="s">
        <v>33</v>
      </c>
      <c r="E72" t="s">
        <v>50</v>
      </c>
      <c r="F72">
        <v>37</v>
      </c>
      <c r="G72">
        <v>17</v>
      </c>
      <c r="H72">
        <v>67</v>
      </c>
      <c r="I72">
        <v>53</v>
      </c>
      <c r="J72">
        <v>66</v>
      </c>
      <c r="K72">
        <v>3</v>
      </c>
      <c r="L72">
        <v>10465</v>
      </c>
      <c r="M72">
        <v>31836</v>
      </c>
      <c r="N72">
        <v>4.4000000000000004</v>
      </c>
      <c r="O72">
        <v>2</v>
      </c>
      <c r="P72">
        <v>0.2</v>
      </c>
      <c r="Q72">
        <v>34752</v>
      </c>
      <c r="T72" t="str">
        <f t="shared" si="1"/>
        <v/>
      </c>
    </row>
    <row r="73" spans="1:20" x14ac:dyDescent="0.3">
      <c r="A73" t="s">
        <v>111</v>
      </c>
      <c r="B73" t="s">
        <v>40</v>
      </c>
      <c r="C73" t="s">
        <v>41</v>
      </c>
      <c r="D73" t="s">
        <v>46</v>
      </c>
      <c r="E73" t="s">
        <v>25</v>
      </c>
      <c r="F73">
        <v>40</v>
      </c>
      <c r="G73">
        <v>4.2</v>
      </c>
      <c r="H73">
        <v>61</v>
      </c>
      <c r="I73">
        <v>20</v>
      </c>
      <c r="J73">
        <v>17</v>
      </c>
      <c r="K73">
        <v>4</v>
      </c>
      <c r="L73">
        <v>2684</v>
      </c>
      <c r="M73">
        <v>9368</v>
      </c>
      <c r="N73">
        <v>4</v>
      </c>
      <c r="O73">
        <v>4</v>
      </c>
      <c r="P73">
        <v>0.51</v>
      </c>
      <c r="Q73">
        <v>6182</v>
      </c>
      <c r="T73" t="str">
        <f t="shared" si="1"/>
        <v/>
      </c>
    </row>
    <row r="74" spans="1:20" x14ac:dyDescent="0.3">
      <c r="A74" t="s">
        <v>112</v>
      </c>
      <c r="B74" t="s">
        <v>22</v>
      </c>
      <c r="C74" t="s">
        <v>29</v>
      </c>
      <c r="D74" t="s">
        <v>24</v>
      </c>
      <c r="E74" t="s">
        <v>25</v>
      </c>
      <c r="F74">
        <v>20</v>
      </c>
      <c r="G74">
        <v>7.3</v>
      </c>
      <c r="H74">
        <v>76</v>
      </c>
      <c r="I74">
        <v>63</v>
      </c>
      <c r="J74">
        <v>2</v>
      </c>
      <c r="K74">
        <v>6</v>
      </c>
      <c r="L74">
        <v>1863</v>
      </c>
      <c r="M74">
        <v>11871</v>
      </c>
      <c r="N74">
        <v>4.2</v>
      </c>
      <c r="O74">
        <v>4</v>
      </c>
      <c r="P74">
        <v>0.55000000000000004</v>
      </c>
      <c r="Q74">
        <v>7906</v>
      </c>
      <c r="T74" t="str">
        <f t="shared" si="1"/>
        <v/>
      </c>
    </row>
    <row r="75" spans="1:20" x14ac:dyDescent="0.3">
      <c r="A75" t="s">
        <v>113</v>
      </c>
      <c r="B75" t="s">
        <v>22</v>
      </c>
      <c r="C75" t="s">
        <v>41</v>
      </c>
      <c r="D75" t="s">
        <v>33</v>
      </c>
      <c r="E75" t="s">
        <v>34</v>
      </c>
      <c r="F75">
        <v>50</v>
      </c>
      <c r="G75">
        <v>10.9</v>
      </c>
      <c r="H75">
        <v>47</v>
      </c>
      <c r="I75">
        <v>34</v>
      </c>
      <c r="J75">
        <v>28</v>
      </c>
      <c r="K75">
        <v>4</v>
      </c>
      <c r="L75">
        <v>2747</v>
      </c>
      <c r="M75">
        <v>11755</v>
      </c>
      <c r="N75">
        <v>3.8</v>
      </c>
      <c r="O75">
        <v>3</v>
      </c>
      <c r="P75">
        <v>0.39</v>
      </c>
      <c r="Q75">
        <v>9370</v>
      </c>
      <c r="T75" t="str">
        <f t="shared" si="1"/>
        <v/>
      </c>
    </row>
    <row r="76" spans="1:20" x14ac:dyDescent="0.3">
      <c r="A76" t="s">
        <v>114</v>
      </c>
      <c r="B76" t="s">
        <v>28</v>
      </c>
      <c r="C76" t="s">
        <v>23</v>
      </c>
      <c r="D76" t="s">
        <v>33</v>
      </c>
      <c r="E76" t="s">
        <v>34</v>
      </c>
      <c r="F76">
        <v>45</v>
      </c>
      <c r="G76">
        <v>11.1</v>
      </c>
      <c r="H76">
        <v>69</v>
      </c>
      <c r="I76">
        <v>96</v>
      </c>
      <c r="J76">
        <v>22</v>
      </c>
      <c r="K76">
        <v>5</v>
      </c>
      <c r="L76">
        <v>7474</v>
      </c>
      <c r="M76">
        <v>34839</v>
      </c>
      <c r="N76">
        <v>2.8</v>
      </c>
      <c r="O76">
        <v>4</v>
      </c>
      <c r="P76">
        <v>0.38</v>
      </c>
      <c r="Q76">
        <v>30937</v>
      </c>
      <c r="T76" t="str">
        <f t="shared" si="1"/>
        <v/>
      </c>
    </row>
    <row r="77" spans="1:20" x14ac:dyDescent="0.3">
      <c r="A77" t="s">
        <v>115</v>
      </c>
      <c r="B77" t="s">
        <v>22</v>
      </c>
      <c r="C77" t="s">
        <v>23</v>
      </c>
      <c r="D77" t="s">
        <v>33</v>
      </c>
      <c r="E77" t="s">
        <v>50</v>
      </c>
      <c r="F77">
        <v>47</v>
      </c>
      <c r="G77">
        <v>19.3</v>
      </c>
      <c r="H77">
        <v>59</v>
      </c>
      <c r="I77">
        <v>83</v>
      </c>
      <c r="J77">
        <v>24</v>
      </c>
      <c r="K77">
        <v>6</v>
      </c>
      <c r="L77">
        <v>19276</v>
      </c>
      <c r="M77">
        <v>110726</v>
      </c>
      <c r="N77">
        <v>4</v>
      </c>
      <c r="O77">
        <v>2</v>
      </c>
      <c r="P77">
        <v>0.36</v>
      </c>
      <c r="Q77">
        <v>126715</v>
      </c>
      <c r="T77" t="str">
        <f t="shared" si="1"/>
        <v/>
      </c>
    </row>
    <row r="78" spans="1:20" x14ac:dyDescent="0.3">
      <c r="A78" t="s">
        <v>116</v>
      </c>
      <c r="B78" t="s">
        <v>28</v>
      </c>
      <c r="C78" t="s">
        <v>23</v>
      </c>
      <c r="D78" t="s">
        <v>37</v>
      </c>
      <c r="E78" t="s">
        <v>25</v>
      </c>
      <c r="F78">
        <v>37</v>
      </c>
      <c r="G78">
        <v>6.3</v>
      </c>
      <c r="H78">
        <v>67</v>
      </c>
      <c r="I78">
        <v>62</v>
      </c>
      <c r="J78">
        <v>27</v>
      </c>
      <c r="K78">
        <v>7</v>
      </c>
      <c r="L78">
        <v>2716</v>
      </c>
      <c r="M78">
        <v>21030</v>
      </c>
      <c r="N78">
        <v>4.2</v>
      </c>
      <c r="O78">
        <v>5</v>
      </c>
      <c r="P78">
        <v>0.3</v>
      </c>
      <c r="Q78">
        <v>14006</v>
      </c>
      <c r="T78" t="str">
        <f t="shared" si="1"/>
        <v/>
      </c>
    </row>
    <row r="79" spans="1:20" x14ac:dyDescent="0.3">
      <c r="A79" t="s">
        <v>117</v>
      </c>
      <c r="B79" t="s">
        <v>22</v>
      </c>
      <c r="C79" t="s">
        <v>23</v>
      </c>
      <c r="D79" t="s">
        <v>37</v>
      </c>
      <c r="E79" t="s">
        <v>34</v>
      </c>
      <c r="F79">
        <v>37</v>
      </c>
      <c r="G79">
        <v>10.3</v>
      </c>
      <c r="H79">
        <v>89</v>
      </c>
      <c r="I79">
        <v>65</v>
      </c>
      <c r="J79">
        <v>15</v>
      </c>
      <c r="K79">
        <v>6</v>
      </c>
      <c r="L79">
        <v>9258</v>
      </c>
      <c r="M79">
        <v>52366</v>
      </c>
      <c r="N79">
        <v>3.7</v>
      </c>
      <c r="O79">
        <v>2</v>
      </c>
      <c r="P79">
        <v>0.32</v>
      </c>
      <c r="Q79">
        <v>46501</v>
      </c>
      <c r="T79" t="str">
        <f t="shared" si="1"/>
        <v/>
      </c>
    </row>
    <row r="80" spans="1:20" x14ac:dyDescent="0.3">
      <c r="A80" t="s">
        <v>118</v>
      </c>
      <c r="B80" t="s">
        <v>28</v>
      </c>
      <c r="C80" t="s">
        <v>23</v>
      </c>
      <c r="D80" t="s">
        <v>37</v>
      </c>
      <c r="E80" t="s">
        <v>25</v>
      </c>
      <c r="F80">
        <v>56</v>
      </c>
      <c r="G80">
        <v>4.4000000000000004</v>
      </c>
      <c r="H80">
        <v>46</v>
      </c>
      <c r="I80">
        <v>71</v>
      </c>
      <c r="J80">
        <v>14</v>
      </c>
      <c r="K80">
        <v>3</v>
      </c>
      <c r="L80">
        <v>1999</v>
      </c>
      <c r="M80">
        <v>6376</v>
      </c>
      <c r="N80">
        <v>3.4</v>
      </c>
      <c r="O80">
        <v>4</v>
      </c>
      <c r="P80">
        <v>0.31</v>
      </c>
      <c r="Q80">
        <v>3911</v>
      </c>
      <c r="T80" t="str">
        <f t="shared" si="1"/>
        <v/>
      </c>
    </row>
    <row r="81" spans="1:20" x14ac:dyDescent="0.3">
      <c r="A81" t="s">
        <v>119</v>
      </c>
      <c r="B81" t="s">
        <v>40</v>
      </c>
      <c r="C81" t="s">
        <v>41</v>
      </c>
      <c r="D81" t="s">
        <v>33</v>
      </c>
      <c r="E81" t="s">
        <v>25</v>
      </c>
      <c r="F81">
        <v>32</v>
      </c>
      <c r="G81">
        <v>5.0999999999999996</v>
      </c>
      <c r="H81">
        <v>59</v>
      </c>
      <c r="I81">
        <v>58</v>
      </c>
      <c r="J81">
        <v>31</v>
      </c>
      <c r="K81">
        <v>6</v>
      </c>
      <c r="L81">
        <v>3486</v>
      </c>
      <c r="M81">
        <v>18313</v>
      </c>
      <c r="N81">
        <v>3.7</v>
      </c>
      <c r="O81">
        <v>5</v>
      </c>
      <c r="P81">
        <v>0.57999999999999996</v>
      </c>
      <c r="Q81">
        <v>11615</v>
      </c>
      <c r="T81" t="str">
        <f t="shared" si="1"/>
        <v/>
      </c>
    </row>
    <row r="82" spans="1:20" x14ac:dyDescent="0.3">
      <c r="A82" t="s">
        <v>120</v>
      </c>
      <c r="B82" t="s">
        <v>44</v>
      </c>
      <c r="C82" t="s">
        <v>23</v>
      </c>
      <c r="D82" t="s">
        <v>37</v>
      </c>
      <c r="E82" t="s">
        <v>25</v>
      </c>
      <c r="F82">
        <v>39</v>
      </c>
      <c r="G82">
        <v>6.8</v>
      </c>
      <c r="H82">
        <v>79</v>
      </c>
      <c r="I82">
        <v>66</v>
      </c>
      <c r="J82">
        <v>23</v>
      </c>
      <c r="K82">
        <v>5</v>
      </c>
      <c r="L82">
        <v>2330</v>
      </c>
      <c r="M82">
        <v>12780</v>
      </c>
      <c r="N82">
        <v>4.7</v>
      </c>
      <c r="O82">
        <v>5</v>
      </c>
      <c r="P82">
        <v>0.61</v>
      </c>
      <c r="Q82">
        <v>8511</v>
      </c>
      <c r="T82" t="str">
        <f t="shared" si="1"/>
        <v/>
      </c>
    </row>
    <row r="83" spans="1:20" x14ac:dyDescent="0.3">
      <c r="A83" t="s">
        <v>121</v>
      </c>
      <c r="B83" t="s">
        <v>44</v>
      </c>
      <c r="C83" t="s">
        <v>32</v>
      </c>
      <c r="D83" t="s">
        <v>33</v>
      </c>
      <c r="E83" t="s">
        <v>50</v>
      </c>
      <c r="F83">
        <v>37</v>
      </c>
      <c r="G83">
        <v>23.1</v>
      </c>
      <c r="H83">
        <v>55</v>
      </c>
      <c r="I83">
        <v>68</v>
      </c>
      <c r="J83">
        <v>28</v>
      </c>
      <c r="K83">
        <v>4</v>
      </c>
      <c r="L83">
        <v>17010</v>
      </c>
      <c r="M83">
        <v>76074</v>
      </c>
      <c r="N83">
        <v>4.7</v>
      </c>
      <c r="O83">
        <v>1</v>
      </c>
      <c r="P83">
        <v>0.06</v>
      </c>
      <c r="Q83">
        <v>84503</v>
      </c>
      <c r="T83" t="str">
        <f t="shared" si="1"/>
        <v/>
      </c>
    </row>
    <row r="84" spans="1:20" x14ac:dyDescent="0.3">
      <c r="A84" t="s">
        <v>122</v>
      </c>
      <c r="B84" t="s">
        <v>40</v>
      </c>
      <c r="C84" t="s">
        <v>41</v>
      </c>
      <c r="D84" t="s">
        <v>46</v>
      </c>
      <c r="E84" t="s">
        <v>50</v>
      </c>
      <c r="F84">
        <v>40</v>
      </c>
      <c r="G84">
        <v>19.3</v>
      </c>
      <c r="H84">
        <v>32</v>
      </c>
      <c r="I84">
        <v>30</v>
      </c>
      <c r="J84">
        <v>57</v>
      </c>
      <c r="K84">
        <v>5</v>
      </c>
      <c r="L84">
        <v>14777</v>
      </c>
      <c r="M84">
        <v>84460</v>
      </c>
      <c r="N84">
        <v>3.3</v>
      </c>
      <c r="O84">
        <v>1</v>
      </c>
      <c r="P84">
        <v>0.34</v>
      </c>
      <c r="Q84">
        <v>76284</v>
      </c>
      <c r="T84" t="str">
        <f t="shared" si="1"/>
        <v/>
      </c>
    </row>
    <row r="85" spans="1:20" x14ac:dyDescent="0.3">
      <c r="A85" t="s">
        <v>123</v>
      </c>
      <c r="B85" t="s">
        <v>28</v>
      </c>
      <c r="C85" t="s">
        <v>29</v>
      </c>
      <c r="D85" t="s">
        <v>33</v>
      </c>
      <c r="E85" t="s">
        <v>34</v>
      </c>
      <c r="F85">
        <v>24</v>
      </c>
      <c r="G85">
        <v>11</v>
      </c>
      <c r="H85">
        <v>54</v>
      </c>
      <c r="I85">
        <v>44</v>
      </c>
      <c r="J85">
        <v>32</v>
      </c>
      <c r="K85">
        <v>3</v>
      </c>
      <c r="L85">
        <v>5099</v>
      </c>
      <c r="M85">
        <v>16787</v>
      </c>
      <c r="N85">
        <v>4.5</v>
      </c>
      <c r="O85">
        <v>3</v>
      </c>
      <c r="P85">
        <v>0.28000000000000003</v>
      </c>
      <c r="Q85">
        <v>13789</v>
      </c>
      <c r="T85" t="str">
        <f t="shared" si="1"/>
        <v/>
      </c>
    </row>
    <row r="86" spans="1:20" x14ac:dyDescent="0.3">
      <c r="A86" t="s">
        <v>124</v>
      </c>
      <c r="B86" t="s">
        <v>22</v>
      </c>
      <c r="C86" t="s">
        <v>32</v>
      </c>
      <c r="D86" t="s">
        <v>33</v>
      </c>
      <c r="E86" t="s">
        <v>34</v>
      </c>
      <c r="F86">
        <v>60</v>
      </c>
      <c r="G86">
        <v>19.399999999999999</v>
      </c>
      <c r="H86">
        <v>50</v>
      </c>
      <c r="I86">
        <v>64</v>
      </c>
      <c r="J86">
        <v>29</v>
      </c>
      <c r="K86">
        <v>5</v>
      </c>
      <c r="L86">
        <v>8086</v>
      </c>
      <c r="M86">
        <v>43412</v>
      </c>
      <c r="N86">
        <v>2.9</v>
      </c>
      <c r="O86">
        <v>4</v>
      </c>
      <c r="P86">
        <v>0.28000000000000003</v>
      </c>
      <c r="Q86">
        <v>35112</v>
      </c>
      <c r="T86" t="str">
        <f t="shared" si="1"/>
        <v/>
      </c>
    </row>
    <row r="87" spans="1:20" x14ac:dyDescent="0.3">
      <c r="A87" t="s">
        <v>125</v>
      </c>
      <c r="B87" t="s">
        <v>40</v>
      </c>
      <c r="C87" t="s">
        <v>23</v>
      </c>
      <c r="D87" t="s">
        <v>33</v>
      </c>
      <c r="E87" t="s">
        <v>34</v>
      </c>
      <c r="F87">
        <v>44</v>
      </c>
      <c r="G87">
        <v>12.2</v>
      </c>
      <c r="H87">
        <v>49</v>
      </c>
      <c r="I87">
        <v>88</v>
      </c>
      <c r="J87">
        <v>42</v>
      </c>
      <c r="K87">
        <v>4</v>
      </c>
      <c r="L87">
        <v>5033</v>
      </c>
      <c r="M87">
        <v>21317</v>
      </c>
      <c r="N87">
        <v>3.8</v>
      </c>
      <c r="O87">
        <v>4</v>
      </c>
      <c r="P87">
        <v>0.51</v>
      </c>
      <c r="Q87">
        <v>16646</v>
      </c>
      <c r="T87" t="str">
        <f t="shared" si="1"/>
        <v/>
      </c>
    </row>
    <row r="88" spans="1:20" x14ac:dyDescent="0.3">
      <c r="A88" t="s">
        <v>126</v>
      </c>
      <c r="B88" t="s">
        <v>22</v>
      </c>
      <c r="C88" t="s">
        <v>32</v>
      </c>
      <c r="D88" t="s">
        <v>37</v>
      </c>
      <c r="E88" t="s">
        <v>34</v>
      </c>
      <c r="F88">
        <v>40</v>
      </c>
      <c r="G88">
        <v>12.5</v>
      </c>
      <c r="H88">
        <v>66</v>
      </c>
      <c r="I88">
        <v>74</v>
      </c>
      <c r="J88">
        <v>68</v>
      </c>
      <c r="K88">
        <v>6</v>
      </c>
      <c r="L88">
        <v>7625</v>
      </c>
      <c r="M88">
        <v>41453</v>
      </c>
      <c r="N88">
        <v>4.5</v>
      </c>
      <c r="O88">
        <v>3</v>
      </c>
      <c r="P88">
        <v>0.4</v>
      </c>
      <c r="Q88">
        <v>33602</v>
      </c>
      <c r="T88" t="str">
        <f t="shared" si="1"/>
        <v/>
      </c>
    </row>
    <row r="89" spans="1:20" x14ac:dyDescent="0.3">
      <c r="A89" t="s">
        <v>127</v>
      </c>
      <c r="B89" t="s">
        <v>40</v>
      </c>
      <c r="C89" t="s">
        <v>29</v>
      </c>
      <c r="D89" t="s">
        <v>24</v>
      </c>
      <c r="E89" t="s">
        <v>34</v>
      </c>
      <c r="F89">
        <v>33</v>
      </c>
      <c r="G89">
        <v>9.9</v>
      </c>
      <c r="H89">
        <v>89</v>
      </c>
      <c r="I89">
        <v>37</v>
      </c>
      <c r="J89">
        <v>57</v>
      </c>
      <c r="K89">
        <v>6</v>
      </c>
      <c r="L89">
        <v>3950</v>
      </c>
      <c r="M89">
        <v>22372</v>
      </c>
      <c r="N89">
        <v>5</v>
      </c>
      <c r="O89">
        <v>3</v>
      </c>
      <c r="P89">
        <v>0.39</v>
      </c>
      <c r="Q89">
        <v>19866</v>
      </c>
      <c r="T89" t="str">
        <f t="shared" si="1"/>
        <v/>
      </c>
    </row>
    <row r="90" spans="1:20" x14ac:dyDescent="0.3">
      <c r="A90" t="s">
        <v>128</v>
      </c>
      <c r="B90" t="s">
        <v>44</v>
      </c>
      <c r="C90" t="s">
        <v>32</v>
      </c>
      <c r="D90" t="s">
        <v>33</v>
      </c>
      <c r="E90" t="s">
        <v>34</v>
      </c>
      <c r="F90">
        <v>18</v>
      </c>
      <c r="G90">
        <v>6.1</v>
      </c>
      <c r="H90">
        <v>64</v>
      </c>
      <c r="I90">
        <v>83</v>
      </c>
      <c r="J90">
        <v>2</v>
      </c>
      <c r="K90">
        <v>4</v>
      </c>
      <c r="L90">
        <v>6176</v>
      </c>
      <c r="M90">
        <v>25989</v>
      </c>
      <c r="N90">
        <v>5</v>
      </c>
      <c r="O90">
        <v>4</v>
      </c>
      <c r="P90">
        <v>0.33</v>
      </c>
      <c r="Q90">
        <v>23078</v>
      </c>
      <c r="T90" t="str">
        <f t="shared" si="1"/>
        <v/>
      </c>
    </row>
    <row r="91" spans="1:20" x14ac:dyDescent="0.3">
      <c r="A91" t="s">
        <v>129</v>
      </c>
      <c r="B91" t="s">
        <v>40</v>
      </c>
      <c r="C91" t="s">
        <v>23</v>
      </c>
      <c r="D91" t="s">
        <v>24</v>
      </c>
      <c r="E91" t="s">
        <v>25</v>
      </c>
      <c r="F91">
        <v>28</v>
      </c>
      <c r="G91">
        <v>5.0999999999999996</v>
      </c>
      <c r="H91">
        <v>53</v>
      </c>
      <c r="I91">
        <v>73</v>
      </c>
      <c r="J91">
        <v>71</v>
      </c>
      <c r="K91">
        <v>5</v>
      </c>
      <c r="L91">
        <v>1481</v>
      </c>
      <c r="M91">
        <v>8409</v>
      </c>
      <c r="N91">
        <v>3.8</v>
      </c>
      <c r="O91">
        <v>4</v>
      </c>
      <c r="P91">
        <v>0.55000000000000004</v>
      </c>
      <c r="Q91">
        <v>4709</v>
      </c>
      <c r="T91" t="str">
        <f t="shared" si="1"/>
        <v/>
      </c>
    </row>
    <row r="92" spans="1:20" x14ac:dyDescent="0.3">
      <c r="A92" t="s">
        <v>130</v>
      </c>
      <c r="B92" t="s">
        <v>44</v>
      </c>
      <c r="C92" t="s">
        <v>41</v>
      </c>
      <c r="D92" t="s">
        <v>37</v>
      </c>
      <c r="E92" t="s">
        <v>25</v>
      </c>
      <c r="F92">
        <v>30</v>
      </c>
      <c r="G92">
        <v>8</v>
      </c>
      <c r="H92">
        <v>39</v>
      </c>
      <c r="I92">
        <v>28</v>
      </c>
      <c r="J92">
        <v>23</v>
      </c>
      <c r="K92">
        <v>7</v>
      </c>
      <c r="L92">
        <v>1494</v>
      </c>
      <c r="M92">
        <v>11896</v>
      </c>
      <c r="N92">
        <v>3.5</v>
      </c>
      <c r="O92">
        <v>4</v>
      </c>
      <c r="P92">
        <v>0.39</v>
      </c>
      <c r="Q92">
        <v>6871</v>
      </c>
      <c r="T92" t="str">
        <f t="shared" si="1"/>
        <v/>
      </c>
    </row>
    <row r="93" spans="1:20" x14ac:dyDescent="0.3">
      <c r="A93" t="s">
        <v>131</v>
      </c>
      <c r="B93" t="s">
        <v>28</v>
      </c>
      <c r="C93" t="s">
        <v>29</v>
      </c>
      <c r="D93" t="s">
        <v>33</v>
      </c>
      <c r="E93" t="s">
        <v>25</v>
      </c>
      <c r="F93">
        <v>30</v>
      </c>
      <c r="G93">
        <v>7.6</v>
      </c>
      <c r="H93">
        <v>50</v>
      </c>
      <c r="I93">
        <v>56</v>
      </c>
      <c r="J93">
        <v>2</v>
      </c>
      <c r="K93">
        <v>5</v>
      </c>
      <c r="L93">
        <v>2074</v>
      </c>
      <c r="M93">
        <v>9222</v>
      </c>
      <c r="N93">
        <v>3.4</v>
      </c>
      <c r="O93">
        <v>4</v>
      </c>
      <c r="P93">
        <v>0.33</v>
      </c>
      <c r="Q93">
        <v>5930</v>
      </c>
      <c r="T93" t="str">
        <f t="shared" si="1"/>
        <v/>
      </c>
    </row>
    <row r="94" spans="1:20" x14ac:dyDescent="0.3">
      <c r="A94" t="s">
        <v>132</v>
      </c>
      <c r="B94" t="s">
        <v>40</v>
      </c>
      <c r="C94" t="s">
        <v>41</v>
      </c>
      <c r="D94" t="s">
        <v>24</v>
      </c>
      <c r="E94" t="s">
        <v>34</v>
      </c>
      <c r="F94">
        <v>41</v>
      </c>
      <c r="G94">
        <v>11.8</v>
      </c>
      <c r="H94">
        <v>68</v>
      </c>
      <c r="I94">
        <v>61</v>
      </c>
      <c r="J94">
        <v>2</v>
      </c>
      <c r="K94">
        <v>4</v>
      </c>
      <c r="L94">
        <v>5728</v>
      </c>
      <c r="M94">
        <v>23266</v>
      </c>
      <c r="N94">
        <v>3.3</v>
      </c>
      <c r="O94">
        <v>2</v>
      </c>
      <c r="P94">
        <v>0.14000000000000001</v>
      </c>
      <c r="Q94">
        <v>20660</v>
      </c>
      <c r="T94" t="str">
        <f t="shared" si="1"/>
        <v/>
      </c>
    </row>
    <row r="95" spans="1:20" x14ac:dyDescent="0.3">
      <c r="A95" t="s">
        <v>133</v>
      </c>
      <c r="B95" t="s">
        <v>22</v>
      </c>
      <c r="C95" t="s">
        <v>41</v>
      </c>
      <c r="D95" t="s">
        <v>33</v>
      </c>
      <c r="E95" t="s">
        <v>34</v>
      </c>
      <c r="F95">
        <v>36</v>
      </c>
      <c r="G95">
        <v>12.7</v>
      </c>
      <c r="H95">
        <v>61</v>
      </c>
      <c r="I95">
        <v>19</v>
      </c>
      <c r="J95">
        <v>24</v>
      </c>
      <c r="K95">
        <v>3</v>
      </c>
      <c r="L95">
        <v>5362</v>
      </c>
      <c r="M95">
        <v>14694</v>
      </c>
      <c r="N95">
        <v>5</v>
      </c>
      <c r="O95">
        <v>4</v>
      </c>
      <c r="P95">
        <v>0.38</v>
      </c>
      <c r="Q95">
        <v>12744</v>
      </c>
      <c r="T95" t="str">
        <f t="shared" si="1"/>
        <v/>
      </c>
    </row>
    <row r="96" spans="1:20" x14ac:dyDescent="0.3">
      <c r="A96" t="s">
        <v>134</v>
      </c>
      <c r="B96" t="s">
        <v>22</v>
      </c>
      <c r="C96" t="s">
        <v>23</v>
      </c>
      <c r="D96" t="s">
        <v>33</v>
      </c>
      <c r="E96" t="s">
        <v>34</v>
      </c>
      <c r="F96">
        <v>35</v>
      </c>
      <c r="G96">
        <v>15.3</v>
      </c>
      <c r="H96">
        <v>70</v>
      </c>
      <c r="I96">
        <v>73</v>
      </c>
      <c r="J96">
        <v>2</v>
      </c>
      <c r="K96">
        <v>5</v>
      </c>
      <c r="L96">
        <v>6169</v>
      </c>
      <c r="M96">
        <v>27740</v>
      </c>
      <c r="N96">
        <v>4.8</v>
      </c>
      <c r="O96">
        <v>3</v>
      </c>
      <c r="P96">
        <v>0.24</v>
      </c>
      <c r="Q96">
        <v>24633</v>
      </c>
      <c r="T96" t="str">
        <f t="shared" si="1"/>
        <v/>
      </c>
    </row>
    <row r="97" spans="1:20" x14ac:dyDescent="0.3">
      <c r="A97" t="s">
        <v>135</v>
      </c>
      <c r="B97" t="s">
        <v>22</v>
      </c>
      <c r="C97" t="s">
        <v>32</v>
      </c>
      <c r="D97" t="s">
        <v>37</v>
      </c>
      <c r="E97" t="s">
        <v>34</v>
      </c>
      <c r="F97">
        <v>31</v>
      </c>
      <c r="G97">
        <v>8</v>
      </c>
      <c r="H97">
        <v>69</v>
      </c>
      <c r="I97">
        <v>53</v>
      </c>
      <c r="J97">
        <v>28</v>
      </c>
      <c r="K97">
        <v>6</v>
      </c>
      <c r="L97">
        <v>6342</v>
      </c>
      <c r="M97">
        <v>34473</v>
      </c>
      <c r="N97">
        <v>4.4000000000000004</v>
      </c>
      <c r="O97">
        <v>3</v>
      </c>
      <c r="P97">
        <v>0.35</v>
      </c>
      <c r="Q97">
        <v>30612</v>
      </c>
      <c r="T97" t="str">
        <f t="shared" si="1"/>
        <v/>
      </c>
    </row>
    <row r="98" spans="1:20" x14ac:dyDescent="0.3">
      <c r="A98" t="s">
        <v>136</v>
      </c>
      <c r="B98" t="s">
        <v>40</v>
      </c>
      <c r="C98" t="s">
        <v>29</v>
      </c>
      <c r="D98" t="s">
        <v>37</v>
      </c>
      <c r="E98" t="s">
        <v>34</v>
      </c>
      <c r="F98">
        <v>38</v>
      </c>
      <c r="G98">
        <v>16.399999999999999</v>
      </c>
      <c r="H98">
        <v>49</v>
      </c>
      <c r="I98">
        <v>43</v>
      </c>
      <c r="J98">
        <v>49</v>
      </c>
      <c r="K98">
        <v>3</v>
      </c>
      <c r="L98">
        <v>6804</v>
      </c>
      <c r="M98">
        <v>20926</v>
      </c>
      <c r="N98">
        <v>5</v>
      </c>
      <c r="O98">
        <v>3</v>
      </c>
      <c r="P98">
        <v>0.43</v>
      </c>
      <c r="Q98">
        <v>16077</v>
      </c>
      <c r="T98" t="str">
        <f t="shared" si="1"/>
        <v/>
      </c>
    </row>
    <row r="99" spans="1:20" x14ac:dyDescent="0.3">
      <c r="A99" t="s">
        <v>137</v>
      </c>
      <c r="B99" t="s">
        <v>40</v>
      </c>
      <c r="C99" t="s">
        <v>29</v>
      </c>
      <c r="D99" t="s">
        <v>37</v>
      </c>
      <c r="E99" t="s">
        <v>34</v>
      </c>
      <c r="F99">
        <v>36</v>
      </c>
      <c r="G99">
        <v>8.4</v>
      </c>
      <c r="H99">
        <v>45</v>
      </c>
      <c r="I99">
        <v>41</v>
      </c>
      <c r="J99">
        <v>4</v>
      </c>
      <c r="K99">
        <v>3</v>
      </c>
      <c r="L99">
        <v>5713</v>
      </c>
      <c r="M99">
        <v>18073</v>
      </c>
      <c r="N99">
        <v>4.4000000000000004</v>
      </c>
      <c r="O99">
        <v>2</v>
      </c>
      <c r="P99">
        <v>0.5</v>
      </c>
      <c r="Q99">
        <v>15024</v>
      </c>
      <c r="T99" t="str">
        <f t="shared" si="1"/>
        <v/>
      </c>
    </row>
    <row r="100" spans="1:20" x14ac:dyDescent="0.3">
      <c r="A100" t="s">
        <v>138</v>
      </c>
      <c r="B100" t="s">
        <v>28</v>
      </c>
      <c r="C100" t="s">
        <v>29</v>
      </c>
      <c r="D100" t="s">
        <v>24</v>
      </c>
      <c r="E100" t="s">
        <v>50</v>
      </c>
      <c r="F100">
        <v>26</v>
      </c>
      <c r="G100">
        <v>30.3</v>
      </c>
      <c r="H100">
        <v>36</v>
      </c>
      <c r="I100">
        <v>73</v>
      </c>
      <c r="J100">
        <v>42</v>
      </c>
      <c r="K100">
        <v>5</v>
      </c>
      <c r="L100">
        <v>23241</v>
      </c>
      <c r="M100">
        <v>126182</v>
      </c>
      <c r="N100">
        <v>3.8</v>
      </c>
      <c r="O100">
        <v>3</v>
      </c>
      <c r="P100">
        <v>0.25</v>
      </c>
      <c r="Q100">
        <v>121539</v>
      </c>
      <c r="T100" t="str">
        <f t="shared" si="1"/>
        <v/>
      </c>
    </row>
    <row r="101" spans="1:20" x14ac:dyDescent="0.3">
      <c r="A101" t="s">
        <v>139</v>
      </c>
      <c r="B101" t="s">
        <v>22</v>
      </c>
      <c r="C101" t="s">
        <v>23</v>
      </c>
      <c r="D101" t="s">
        <v>37</v>
      </c>
      <c r="E101" t="s">
        <v>34</v>
      </c>
      <c r="F101">
        <v>41</v>
      </c>
      <c r="G101">
        <v>17.7</v>
      </c>
      <c r="H101">
        <v>52</v>
      </c>
      <c r="I101">
        <v>87</v>
      </c>
      <c r="J101">
        <v>37</v>
      </c>
      <c r="K101">
        <v>3</v>
      </c>
      <c r="L101">
        <v>6677</v>
      </c>
      <c r="M101">
        <v>18530</v>
      </c>
      <c r="N101">
        <v>4.2</v>
      </c>
      <c r="O101">
        <v>3</v>
      </c>
      <c r="P101">
        <v>0.62</v>
      </c>
      <c r="Q101">
        <v>14887</v>
      </c>
      <c r="T101" t="str">
        <f t="shared" si="1"/>
        <v/>
      </c>
    </row>
    <row r="102" spans="1:20" x14ac:dyDescent="0.3">
      <c r="A102" t="s">
        <v>140</v>
      </c>
      <c r="B102" t="s">
        <v>28</v>
      </c>
      <c r="C102" t="s">
        <v>23</v>
      </c>
      <c r="D102" t="s">
        <v>46</v>
      </c>
      <c r="E102" t="s">
        <v>34</v>
      </c>
      <c r="F102">
        <v>32</v>
      </c>
      <c r="G102">
        <v>13.6</v>
      </c>
      <c r="H102">
        <v>52</v>
      </c>
      <c r="I102">
        <v>82</v>
      </c>
      <c r="J102">
        <v>59</v>
      </c>
      <c r="K102">
        <v>3</v>
      </c>
      <c r="L102">
        <v>5995</v>
      </c>
      <c r="M102">
        <v>15694</v>
      </c>
      <c r="N102">
        <v>3.1</v>
      </c>
      <c r="O102">
        <v>4</v>
      </c>
      <c r="P102">
        <v>0.36</v>
      </c>
      <c r="Q102">
        <v>11987</v>
      </c>
      <c r="T102" t="str">
        <f t="shared" si="1"/>
        <v/>
      </c>
    </row>
    <row r="103" spans="1:20" x14ac:dyDescent="0.3">
      <c r="A103" t="s">
        <v>141</v>
      </c>
      <c r="B103" t="s">
        <v>28</v>
      </c>
      <c r="C103" t="s">
        <v>23</v>
      </c>
      <c r="D103" t="s">
        <v>46</v>
      </c>
      <c r="E103" t="s">
        <v>34</v>
      </c>
      <c r="F103">
        <v>28</v>
      </c>
      <c r="G103">
        <v>10</v>
      </c>
      <c r="H103">
        <v>78</v>
      </c>
      <c r="I103">
        <v>86</v>
      </c>
      <c r="J103">
        <v>11</v>
      </c>
      <c r="K103">
        <v>7</v>
      </c>
      <c r="L103">
        <v>4825</v>
      </c>
      <c r="M103">
        <v>30330</v>
      </c>
      <c r="N103">
        <v>4.2</v>
      </c>
      <c r="O103">
        <v>3</v>
      </c>
      <c r="P103">
        <v>0.28999999999999998</v>
      </c>
      <c r="Q103">
        <v>26933</v>
      </c>
      <c r="T103" t="str">
        <f t="shared" si="1"/>
        <v/>
      </c>
    </row>
    <row r="104" spans="1:20" x14ac:dyDescent="0.3">
      <c r="A104" t="s">
        <v>142</v>
      </c>
      <c r="B104" t="s">
        <v>40</v>
      </c>
      <c r="C104" t="s">
        <v>23</v>
      </c>
      <c r="D104" t="s">
        <v>46</v>
      </c>
      <c r="E104" t="s">
        <v>34</v>
      </c>
      <c r="F104">
        <v>24</v>
      </c>
      <c r="G104">
        <v>14.4</v>
      </c>
      <c r="H104">
        <v>52</v>
      </c>
      <c r="I104">
        <v>78</v>
      </c>
      <c r="J104">
        <v>45</v>
      </c>
      <c r="K104">
        <v>6</v>
      </c>
      <c r="L104">
        <v>7045</v>
      </c>
      <c r="M104">
        <v>38566</v>
      </c>
      <c r="N104">
        <v>4.9000000000000004</v>
      </c>
      <c r="O104">
        <v>3</v>
      </c>
      <c r="P104">
        <v>0.1</v>
      </c>
      <c r="Q104">
        <v>30429</v>
      </c>
      <c r="T104" t="str">
        <f t="shared" si="1"/>
        <v/>
      </c>
    </row>
    <row r="105" spans="1:20" x14ac:dyDescent="0.3">
      <c r="A105" t="s">
        <v>143</v>
      </c>
      <c r="B105" t="s">
        <v>44</v>
      </c>
      <c r="C105" t="s">
        <v>23</v>
      </c>
      <c r="D105" t="s">
        <v>24</v>
      </c>
      <c r="E105" t="s">
        <v>25</v>
      </c>
      <c r="F105">
        <v>47</v>
      </c>
      <c r="G105">
        <v>5.0999999999999996</v>
      </c>
      <c r="H105">
        <v>47</v>
      </c>
      <c r="I105">
        <v>75</v>
      </c>
      <c r="J105">
        <v>76</v>
      </c>
      <c r="K105">
        <v>5</v>
      </c>
      <c r="L105">
        <v>2650</v>
      </c>
      <c r="M105">
        <v>11294</v>
      </c>
      <c r="N105">
        <v>3.8</v>
      </c>
      <c r="O105">
        <v>4</v>
      </c>
      <c r="P105">
        <v>0.53</v>
      </c>
      <c r="Q105">
        <v>6020</v>
      </c>
      <c r="T105" t="str">
        <f t="shared" si="1"/>
        <v/>
      </c>
    </row>
    <row r="106" spans="1:20" x14ac:dyDescent="0.3">
      <c r="A106" t="s">
        <v>144</v>
      </c>
      <c r="B106" t="s">
        <v>28</v>
      </c>
      <c r="C106" t="s">
        <v>23</v>
      </c>
      <c r="D106" t="s">
        <v>24</v>
      </c>
      <c r="E106" t="s">
        <v>34</v>
      </c>
      <c r="F106">
        <v>26</v>
      </c>
      <c r="G106">
        <v>11.7</v>
      </c>
      <c r="H106">
        <v>66</v>
      </c>
      <c r="I106">
        <v>70</v>
      </c>
      <c r="J106">
        <v>30</v>
      </c>
      <c r="K106">
        <v>5</v>
      </c>
      <c r="L106">
        <v>5991</v>
      </c>
      <c r="M106">
        <v>33843</v>
      </c>
      <c r="N106">
        <v>4.3</v>
      </c>
      <c r="O106">
        <v>2</v>
      </c>
      <c r="P106">
        <v>0.24</v>
      </c>
      <c r="Q106">
        <v>29748</v>
      </c>
      <c r="T106" t="str">
        <f t="shared" si="1"/>
        <v/>
      </c>
    </row>
    <row r="107" spans="1:20" x14ac:dyDescent="0.3">
      <c r="A107" t="s">
        <v>145</v>
      </c>
      <c r="B107" t="s">
        <v>28</v>
      </c>
      <c r="C107" t="s">
        <v>32</v>
      </c>
      <c r="D107" t="s">
        <v>37</v>
      </c>
      <c r="E107" t="s">
        <v>25</v>
      </c>
      <c r="F107">
        <v>30</v>
      </c>
      <c r="G107">
        <v>5.7</v>
      </c>
      <c r="H107">
        <v>58</v>
      </c>
      <c r="I107">
        <v>79</v>
      </c>
      <c r="J107">
        <v>67</v>
      </c>
      <c r="K107">
        <v>3</v>
      </c>
      <c r="L107">
        <v>1602</v>
      </c>
      <c r="M107">
        <v>4170</v>
      </c>
      <c r="N107">
        <v>3.7</v>
      </c>
      <c r="O107">
        <v>4</v>
      </c>
      <c r="P107">
        <v>0.39</v>
      </c>
      <c r="Q107">
        <v>2428</v>
      </c>
      <c r="T107" t="str">
        <f t="shared" si="1"/>
        <v/>
      </c>
    </row>
    <row r="108" spans="1:20" x14ac:dyDescent="0.3">
      <c r="A108" t="s">
        <v>146</v>
      </c>
      <c r="B108" t="s">
        <v>44</v>
      </c>
      <c r="C108" t="s">
        <v>23</v>
      </c>
      <c r="D108" t="s">
        <v>37</v>
      </c>
      <c r="E108" t="s">
        <v>34</v>
      </c>
      <c r="F108">
        <v>40</v>
      </c>
      <c r="G108">
        <v>10.5</v>
      </c>
      <c r="H108">
        <v>66</v>
      </c>
      <c r="I108">
        <v>55</v>
      </c>
      <c r="J108">
        <v>3</v>
      </c>
      <c r="K108">
        <v>1</v>
      </c>
      <c r="L108">
        <v>2620</v>
      </c>
      <c r="M108">
        <v>2235</v>
      </c>
      <c r="N108">
        <v>4.4000000000000004</v>
      </c>
      <c r="O108">
        <v>3</v>
      </c>
      <c r="P108">
        <v>0.31</v>
      </c>
      <c r="Q108">
        <v>1985</v>
      </c>
      <c r="T108" t="str">
        <f t="shared" si="1"/>
        <v/>
      </c>
    </row>
    <row r="109" spans="1:20" x14ac:dyDescent="0.3">
      <c r="A109" t="s">
        <v>147</v>
      </c>
      <c r="B109" t="s">
        <v>28</v>
      </c>
      <c r="C109" t="s">
        <v>23</v>
      </c>
      <c r="D109" t="s">
        <v>24</v>
      </c>
      <c r="E109" t="s">
        <v>34</v>
      </c>
      <c r="F109">
        <v>29</v>
      </c>
      <c r="G109">
        <v>15.5</v>
      </c>
      <c r="H109">
        <v>75</v>
      </c>
      <c r="I109">
        <v>86</v>
      </c>
      <c r="J109">
        <v>24</v>
      </c>
      <c r="K109">
        <v>6</v>
      </c>
      <c r="L109">
        <v>3893</v>
      </c>
      <c r="M109">
        <v>22591</v>
      </c>
      <c r="N109">
        <v>5</v>
      </c>
      <c r="O109">
        <v>3</v>
      </c>
      <c r="P109">
        <v>0.65</v>
      </c>
      <c r="Q109">
        <v>20061</v>
      </c>
      <c r="T109" t="str">
        <f t="shared" si="1"/>
        <v/>
      </c>
    </row>
    <row r="110" spans="1:20" x14ac:dyDescent="0.3">
      <c r="A110" t="s">
        <v>148</v>
      </c>
      <c r="B110" t="s">
        <v>40</v>
      </c>
      <c r="C110" t="s">
        <v>32</v>
      </c>
      <c r="D110" t="s">
        <v>33</v>
      </c>
      <c r="E110" t="s">
        <v>34</v>
      </c>
      <c r="F110">
        <v>36</v>
      </c>
      <c r="G110">
        <v>7.3</v>
      </c>
      <c r="H110">
        <v>57</v>
      </c>
      <c r="I110">
        <v>25</v>
      </c>
      <c r="J110">
        <v>61</v>
      </c>
      <c r="K110">
        <v>7</v>
      </c>
      <c r="L110">
        <v>2240</v>
      </c>
      <c r="M110">
        <v>16627</v>
      </c>
      <c r="N110">
        <v>3.5</v>
      </c>
      <c r="O110">
        <v>2</v>
      </c>
      <c r="P110">
        <v>0.18</v>
      </c>
      <c r="Q110">
        <v>13014</v>
      </c>
      <c r="T110" t="str">
        <f t="shared" si="1"/>
        <v/>
      </c>
    </row>
    <row r="111" spans="1:20" x14ac:dyDescent="0.3">
      <c r="A111" t="s">
        <v>149</v>
      </c>
      <c r="B111" t="s">
        <v>44</v>
      </c>
      <c r="C111" t="s">
        <v>32</v>
      </c>
      <c r="D111" t="s">
        <v>37</v>
      </c>
      <c r="E111" t="s">
        <v>34</v>
      </c>
      <c r="F111">
        <v>35</v>
      </c>
      <c r="G111">
        <v>12.6</v>
      </c>
      <c r="H111">
        <v>78</v>
      </c>
      <c r="I111">
        <v>53</v>
      </c>
      <c r="J111">
        <v>31</v>
      </c>
      <c r="K111">
        <v>5</v>
      </c>
      <c r="L111">
        <v>5725</v>
      </c>
      <c r="M111">
        <v>32775</v>
      </c>
      <c r="N111">
        <v>4</v>
      </c>
      <c r="O111">
        <v>3</v>
      </c>
      <c r="P111">
        <v>0.2</v>
      </c>
      <c r="Q111">
        <v>29104</v>
      </c>
      <c r="T111" t="str">
        <f t="shared" si="1"/>
        <v/>
      </c>
    </row>
    <row r="112" spans="1:20" x14ac:dyDescent="0.3">
      <c r="A112" t="s">
        <v>150</v>
      </c>
      <c r="B112" t="s">
        <v>22</v>
      </c>
      <c r="C112" t="s">
        <v>32</v>
      </c>
      <c r="D112" t="s">
        <v>24</v>
      </c>
      <c r="E112" t="s">
        <v>25</v>
      </c>
      <c r="F112">
        <v>41</v>
      </c>
      <c r="G112">
        <v>7.7</v>
      </c>
      <c r="H112">
        <v>56</v>
      </c>
      <c r="I112">
        <v>64</v>
      </c>
      <c r="J112">
        <v>46</v>
      </c>
      <c r="K112">
        <v>4</v>
      </c>
      <c r="L112">
        <v>2379</v>
      </c>
      <c r="M112">
        <v>10062</v>
      </c>
      <c r="N112">
        <v>3.6</v>
      </c>
      <c r="O112">
        <v>2</v>
      </c>
      <c r="P112">
        <v>0.13</v>
      </c>
      <c r="Q112">
        <v>6076</v>
      </c>
      <c r="T112" t="str">
        <f t="shared" si="1"/>
        <v/>
      </c>
    </row>
    <row r="113" spans="1:20" x14ac:dyDescent="0.3">
      <c r="A113" t="s">
        <v>151</v>
      </c>
      <c r="B113" t="s">
        <v>40</v>
      </c>
      <c r="C113" t="s">
        <v>23</v>
      </c>
      <c r="D113" t="s">
        <v>33</v>
      </c>
      <c r="E113" t="s">
        <v>34</v>
      </c>
      <c r="F113">
        <v>18</v>
      </c>
      <c r="G113">
        <v>14.4</v>
      </c>
      <c r="H113">
        <v>62</v>
      </c>
      <c r="I113">
        <v>98</v>
      </c>
      <c r="J113">
        <v>25</v>
      </c>
      <c r="K113">
        <v>6</v>
      </c>
      <c r="L113">
        <v>5718</v>
      </c>
      <c r="M113">
        <v>34403</v>
      </c>
      <c r="N113">
        <v>4.7</v>
      </c>
      <c r="O113">
        <v>2</v>
      </c>
      <c r="P113">
        <v>0.32</v>
      </c>
      <c r="Q113">
        <v>29931</v>
      </c>
      <c r="T113" t="str">
        <f t="shared" si="1"/>
        <v/>
      </c>
    </row>
    <row r="114" spans="1:20" x14ac:dyDescent="0.3">
      <c r="A114" t="s">
        <v>152</v>
      </c>
      <c r="B114" t="s">
        <v>28</v>
      </c>
      <c r="C114" t="s">
        <v>23</v>
      </c>
      <c r="D114" t="s">
        <v>37</v>
      </c>
      <c r="E114" t="s">
        <v>34</v>
      </c>
      <c r="F114">
        <v>29</v>
      </c>
      <c r="G114">
        <v>12.6</v>
      </c>
      <c r="H114">
        <v>62</v>
      </c>
      <c r="I114">
        <v>48</v>
      </c>
      <c r="J114">
        <v>22</v>
      </c>
      <c r="K114">
        <v>4</v>
      </c>
      <c r="L114">
        <v>3860</v>
      </c>
      <c r="M114">
        <v>17612</v>
      </c>
      <c r="N114">
        <v>4.5</v>
      </c>
      <c r="O114">
        <v>3</v>
      </c>
      <c r="P114">
        <v>0.08</v>
      </c>
      <c r="Q114">
        <v>15418</v>
      </c>
      <c r="T114" t="str">
        <f t="shared" si="1"/>
        <v/>
      </c>
    </row>
    <row r="115" spans="1:20" x14ac:dyDescent="0.3">
      <c r="A115" t="s">
        <v>153</v>
      </c>
      <c r="B115" t="s">
        <v>44</v>
      </c>
      <c r="C115" t="s">
        <v>23</v>
      </c>
      <c r="D115" t="s">
        <v>24</v>
      </c>
      <c r="E115" t="s">
        <v>25</v>
      </c>
      <c r="F115">
        <v>31</v>
      </c>
      <c r="G115">
        <v>7.1</v>
      </c>
      <c r="H115">
        <v>53</v>
      </c>
      <c r="I115">
        <v>85</v>
      </c>
      <c r="J115">
        <v>53</v>
      </c>
      <c r="K115">
        <v>3</v>
      </c>
      <c r="L115">
        <v>2477</v>
      </c>
      <c r="M115">
        <v>8329</v>
      </c>
      <c r="N115">
        <v>3.5</v>
      </c>
      <c r="O115">
        <v>4</v>
      </c>
      <c r="P115">
        <v>0.22</v>
      </c>
      <c r="Q115">
        <v>4867</v>
      </c>
      <c r="T115" t="str">
        <f t="shared" si="1"/>
        <v/>
      </c>
    </row>
    <row r="116" spans="1:20" x14ac:dyDescent="0.3">
      <c r="A116" t="s">
        <v>154</v>
      </c>
      <c r="B116" t="s">
        <v>28</v>
      </c>
      <c r="C116" t="s">
        <v>29</v>
      </c>
      <c r="D116" t="s">
        <v>24</v>
      </c>
      <c r="E116" t="s">
        <v>25</v>
      </c>
      <c r="F116">
        <v>18</v>
      </c>
      <c r="G116">
        <v>10.3</v>
      </c>
      <c r="H116">
        <v>50</v>
      </c>
      <c r="I116">
        <v>75</v>
      </c>
      <c r="J116">
        <v>52</v>
      </c>
      <c r="K116">
        <v>4</v>
      </c>
      <c r="L116">
        <v>1617</v>
      </c>
      <c r="M116">
        <v>7302</v>
      </c>
      <c r="N116">
        <v>3.7</v>
      </c>
      <c r="O116">
        <v>3</v>
      </c>
      <c r="P116">
        <v>0.41</v>
      </c>
      <c r="Q116">
        <v>4203</v>
      </c>
      <c r="T116" t="str">
        <f t="shared" si="1"/>
        <v/>
      </c>
    </row>
    <row r="117" spans="1:20" x14ac:dyDescent="0.3">
      <c r="A117" t="s">
        <v>155</v>
      </c>
      <c r="B117" t="s">
        <v>22</v>
      </c>
      <c r="C117" t="s">
        <v>41</v>
      </c>
      <c r="D117" t="s">
        <v>37</v>
      </c>
      <c r="E117" t="s">
        <v>34</v>
      </c>
      <c r="F117">
        <v>46</v>
      </c>
      <c r="G117">
        <v>16</v>
      </c>
      <c r="H117">
        <v>50</v>
      </c>
      <c r="I117">
        <v>33</v>
      </c>
      <c r="J117">
        <v>56</v>
      </c>
      <c r="K117">
        <v>4</v>
      </c>
      <c r="L117">
        <v>5094</v>
      </c>
      <c r="M117">
        <v>17641</v>
      </c>
      <c r="N117">
        <v>4.8</v>
      </c>
      <c r="O117">
        <v>4</v>
      </c>
      <c r="P117">
        <v>0.38</v>
      </c>
      <c r="Q117">
        <v>13411</v>
      </c>
      <c r="T117" t="str">
        <f t="shared" si="1"/>
        <v/>
      </c>
    </row>
    <row r="118" spans="1:20" x14ac:dyDescent="0.3">
      <c r="A118" t="s">
        <v>156</v>
      </c>
      <c r="B118" t="s">
        <v>22</v>
      </c>
      <c r="C118" t="s">
        <v>29</v>
      </c>
      <c r="D118" t="s">
        <v>46</v>
      </c>
      <c r="E118" t="s">
        <v>34</v>
      </c>
      <c r="F118">
        <v>26</v>
      </c>
      <c r="G118">
        <v>4</v>
      </c>
      <c r="H118">
        <v>58</v>
      </c>
      <c r="I118">
        <v>53</v>
      </c>
      <c r="J118">
        <v>2</v>
      </c>
      <c r="K118">
        <v>6</v>
      </c>
      <c r="L118">
        <v>3539</v>
      </c>
      <c r="M118">
        <v>22448</v>
      </c>
      <c r="N118">
        <v>4.7</v>
      </c>
      <c r="O118">
        <v>4</v>
      </c>
      <c r="P118">
        <v>0.46</v>
      </c>
      <c r="Q118">
        <v>19934</v>
      </c>
      <c r="T118" t="str">
        <f t="shared" si="1"/>
        <v/>
      </c>
    </row>
    <row r="119" spans="1:20" x14ac:dyDescent="0.3">
      <c r="A119" t="s">
        <v>157</v>
      </c>
      <c r="B119" t="s">
        <v>28</v>
      </c>
      <c r="C119" t="s">
        <v>23</v>
      </c>
      <c r="D119" t="s">
        <v>33</v>
      </c>
      <c r="E119" t="s">
        <v>34</v>
      </c>
      <c r="F119">
        <v>44</v>
      </c>
      <c r="G119">
        <v>12.2</v>
      </c>
      <c r="H119">
        <v>85</v>
      </c>
      <c r="I119">
        <v>82</v>
      </c>
      <c r="J119">
        <v>2</v>
      </c>
      <c r="K119">
        <v>7</v>
      </c>
      <c r="L119">
        <v>6783</v>
      </c>
      <c r="M119">
        <v>53242</v>
      </c>
      <c r="N119">
        <v>4.3</v>
      </c>
      <c r="O119">
        <v>2</v>
      </c>
      <c r="P119">
        <v>0.2</v>
      </c>
      <c r="Q119">
        <v>47279</v>
      </c>
      <c r="T119" t="str">
        <f t="shared" si="1"/>
        <v/>
      </c>
    </row>
    <row r="120" spans="1:20" x14ac:dyDescent="0.3">
      <c r="A120" t="s">
        <v>158</v>
      </c>
      <c r="B120" t="s">
        <v>44</v>
      </c>
      <c r="C120" t="s">
        <v>23</v>
      </c>
      <c r="D120" t="s">
        <v>24</v>
      </c>
      <c r="E120" t="s">
        <v>50</v>
      </c>
      <c r="F120">
        <v>43</v>
      </c>
      <c r="G120">
        <v>11.3</v>
      </c>
      <c r="H120">
        <v>74</v>
      </c>
      <c r="I120">
        <v>82</v>
      </c>
      <c r="J120">
        <v>33</v>
      </c>
      <c r="K120">
        <v>5</v>
      </c>
      <c r="L120">
        <v>15087</v>
      </c>
      <c r="M120">
        <v>67897</v>
      </c>
      <c r="N120">
        <v>3.4</v>
      </c>
      <c r="O120">
        <v>2</v>
      </c>
      <c r="P120">
        <v>0.3</v>
      </c>
      <c r="Q120">
        <v>80390</v>
      </c>
      <c r="T120" t="str">
        <f t="shared" si="1"/>
        <v/>
      </c>
    </row>
    <row r="121" spans="1:20" x14ac:dyDescent="0.3">
      <c r="A121" t="s">
        <v>159</v>
      </c>
      <c r="B121" t="s">
        <v>28</v>
      </c>
      <c r="C121" t="s">
        <v>29</v>
      </c>
      <c r="D121" t="s">
        <v>33</v>
      </c>
      <c r="E121" t="s">
        <v>34</v>
      </c>
      <c r="F121">
        <v>25</v>
      </c>
      <c r="G121">
        <v>9</v>
      </c>
      <c r="H121">
        <v>59</v>
      </c>
      <c r="I121">
        <v>52</v>
      </c>
      <c r="J121">
        <v>42</v>
      </c>
      <c r="K121">
        <v>2</v>
      </c>
      <c r="L121">
        <v>5410</v>
      </c>
      <c r="M121">
        <v>9687</v>
      </c>
      <c r="N121">
        <v>4.3</v>
      </c>
      <c r="O121">
        <v>2</v>
      </c>
      <c r="P121">
        <v>0.13</v>
      </c>
      <c r="Q121">
        <v>8000</v>
      </c>
      <c r="T121" t="str">
        <f t="shared" si="1"/>
        <v/>
      </c>
    </row>
    <row r="122" spans="1:20" x14ac:dyDescent="0.3">
      <c r="A122" t="s">
        <v>160</v>
      </c>
      <c r="B122" t="s">
        <v>28</v>
      </c>
      <c r="C122" t="s">
        <v>23</v>
      </c>
      <c r="D122" t="s">
        <v>37</v>
      </c>
      <c r="E122" t="s">
        <v>34</v>
      </c>
      <c r="F122">
        <v>55</v>
      </c>
      <c r="G122">
        <v>16</v>
      </c>
      <c r="H122">
        <v>56</v>
      </c>
      <c r="I122">
        <v>77</v>
      </c>
      <c r="J122">
        <v>41</v>
      </c>
      <c r="K122">
        <v>4</v>
      </c>
      <c r="L122">
        <v>6785</v>
      </c>
      <c r="M122">
        <v>26108</v>
      </c>
      <c r="N122">
        <v>4</v>
      </c>
      <c r="O122">
        <v>2</v>
      </c>
      <c r="P122">
        <v>0.12</v>
      </c>
      <c r="Q122">
        <v>21257</v>
      </c>
      <c r="T122" t="str">
        <f t="shared" si="1"/>
        <v/>
      </c>
    </row>
    <row r="123" spans="1:20" x14ac:dyDescent="0.3">
      <c r="A123" t="s">
        <v>161</v>
      </c>
      <c r="B123" t="s">
        <v>28</v>
      </c>
      <c r="C123" t="s">
        <v>29</v>
      </c>
      <c r="D123" t="s">
        <v>37</v>
      </c>
      <c r="E123" t="s">
        <v>25</v>
      </c>
      <c r="F123">
        <v>33</v>
      </c>
      <c r="G123">
        <v>5.8</v>
      </c>
      <c r="H123">
        <v>46</v>
      </c>
      <c r="I123">
        <v>60</v>
      </c>
      <c r="J123">
        <v>21</v>
      </c>
      <c r="K123">
        <v>4</v>
      </c>
      <c r="L123">
        <v>2387</v>
      </c>
      <c r="M123">
        <v>10972</v>
      </c>
      <c r="N123">
        <v>5</v>
      </c>
      <c r="O123">
        <v>4</v>
      </c>
      <c r="P123">
        <v>0.51</v>
      </c>
      <c r="Q123">
        <v>6626</v>
      </c>
      <c r="T123" t="str">
        <f t="shared" si="1"/>
        <v/>
      </c>
    </row>
    <row r="124" spans="1:20" x14ac:dyDescent="0.3">
      <c r="A124" t="s">
        <v>162</v>
      </c>
      <c r="B124" t="s">
        <v>40</v>
      </c>
      <c r="C124" t="s">
        <v>29</v>
      </c>
      <c r="D124" t="s">
        <v>33</v>
      </c>
      <c r="E124" t="s">
        <v>25</v>
      </c>
      <c r="F124">
        <v>22</v>
      </c>
      <c r="G124">
        <v>9.9</v>
      </c>
      <c r="H124">
        <v>66</v>
      </c>
      <c r="I124">
        <v>71</v>
      </c>
      <c r="J124">
        <v>11</v>
      </c>
      <c r="K124">
        <v>3</v>
      </c>
      <c r="L124">
        <v>3760</v>
      </c>
      <c r="M124">
        <v>12908</v>
      </c>
      <c r="N124">
        <v>4.4000000000000004</v>
      </c>
      <c r="O124">
        <v>4</v>
      </c>
      <c r="P124">
        <v>0.51</v>
      </c>
      <c r="Q124">
        <v>8597</v>
      </c>
      <c r="T124" t="str">
        <f t="shared" si="1"/>
        <v/>
      </c>
    </row>
    <row r="125" spans="1:20" x14ac:dyDescent="0.3">
      <c r="A125" t="s">
        <v>163</v>
      </c>
      <c r="B125" t="s">
        <v>22</v>
      </c>
      <c r="C125" t="s">
        <v>29</v>
      </c>
      <c r="D125" t="s">
        <v>24</v>
      </c>
      <c r="E125" t="s">
        <v>50</v>
      </c>
      <c r="F125">
        <v>41</v>
      </c>
      <c r="G125">
        <v>24.5</v>
      </c>
      <c r="H125">
        <v>54</v>
      </c>
      <c r="I125">
        <v>32</v>
      </c>
      <c r="J125">
        <v>8</v>
      </c>
      <c r="K125">
        <v>5</v>
      </c>
      <c r="L125">
        <v>13215</v>
      </c>
      <c r="M125">
        <v>67523</v>
      </c>
      <c r="N125">
        <v>3.9</v>
      </c>
      <c r="O125">
        <v>2</v>
      </c>
      <c r="P125">
        <v>0.28000000000000003</v>
      </c>
      <c r="Q125">
        <v>77841</v>
      </c>
      <c r="T125" t="str">
        <f t="shared" si="1"/>
        <v/>
      </c>
    </row>
    <row r="126" spans="1:20" x14ac:dyDescent="0.3">
      <c r="A126" t="s">
        <v>164</v>
      </c>
      <c r="B126" t="s">
        <v>40</v>
      </c>
      <c r="C126" t="s">
        <v>23</v>
      </c>
      <c r="D126" t="s">
        <v>24</v>
      </c>
      <c r="E126" t="s">
        <v>25</v>
      </c>
      <c r="F126">
        <v>19</v>
      </c>
      <c r="G126">
        <v>5.9</v>
      </c>
      <c r="H126">
        <v>64</v>
      </c>
      <c r="I126">
        <v>77</v>
      </c>
      <c r="J126">
        <v>26</v>
      </c>
      <c r="K126">
        <v>5</v>
      </c>
      <c r="L126">
        <v>2449</v>
      </c>
      <c r="M126">
        <v>10468</v>
      </c>
      <c r="N126">
        <v>4.5</v>
      </c>
      <c r="O126">
        <v>4</v>
      </c>
      <c r="P126">
        <v>0.21</v>
      </c>
      <c r="Q126">
        <v>6887</v>
      </c>
      <c r="T126" t="str">
        <f t="shared" si="1"/>
        <v/>
      </c>
    </row>
    <row r="127" spans="1:20" x14ac:dyDescent="0.3">
      <c r="A127" t="s">
        <v>165</v>
      </c>
      <c r="B127" t="s">
        <v>44</v>
      </c>
      <c r="C127" t="s">
        <v>29</v>
      </c>
      <c r="D127" t="s">
        <v>37</v>
      </c>
      <c r="E127" t="s">
        <v>34</v>
      </c>
      <c r="F127">
        <v>18</v>
      </c>
      <c r="G127">
        <v>9.1</v>
      </c>
      <c r="H127">
        <v>68</v>
      </c>
      <c r="I127">
        <v>76</v>
      </c>
      <c r="J127">
        <v>29</v>
      </c>
      <c r="K127">
        <v>5</v>
      </c>
      <c r="L127">
        <v>1406</v>
      </c>
      <c r="M127">
        <v>7195</v>
      </c>
      <c r="N127">
        <v>3.5</v>
      </c>
      <c r="O127">
        <v>3</v>
      </c>
      <c r="P127">
        <v>0.3</v>
      </c>
      <c r="Q127">
        <v>6389</v>
      </c>
      <c r="T127" t="str">
        <f t="shared" si="1"/>
        <v/>
      </c>
    </row>
    <row r="128" spans="1:20" x14ac:dyDescent="0.3">
      <c r="A128" t="s">
        <v>166</v>
      </c>
      <c r="B128" t="s">
        <v>44</v>
      </c>
      <c r="C128" t="s">
        <v>29</v>
      </c>
      <c r="D128" t="s">
        <v>46</v>
      </c>
      <c r="E128" t="s">
        <v>50</v>
      </c>
      <c r="F128">
        <v>43</v>
      </c>
      <c r="G128">
        <v>15.2</v>
      </c>
      <c r="H128">
        <v>56</v>
      </c>
      <c r="I128">
        <v>59</v>
      </c>
      <c r="J128">
        <v>40</v>
      </c>
      <c r="K128">
        <v>4</v>
      </c>
      <c r="L128">
        <v>18245</v>
      </c>
      <c r="M128">
        <v>74201</v>
      </c>
      <c r="N128">
        <v>3.5</v>
      </c>
      <c r="O128">
        <v>2</v>
      </c>
      <c r="P128">
        <v>0.25</v>
      </c>
      <c r="Q128">
        <v>80731</v>
      </c>
      <c r="T128" t="str">
        <f t="shared" si="1"/>
        <v/>
      </c>
    </row>
    <row r="129" spans="1:20" x14ac:dyDescent="0.3">
      <c r="A129" t="s">
        <v>167</v>
      </c>
      <c r="B129" t="s">
        <v>22</v>
      </c>
      <c r="C129" t="s">
        <v>29</v>
      </c>
      <c r="D129" t="s">
        <v>37</v>
      </c>
      <c r="E129" t="s">
        <v>25</v>
      </c>
      <c r="F129">
        <v>37</v>
      </c>
      <c r="G129">
        <v>6.4</v>
      </c>
      <c r="H129">
        <v>57</v>
      </c>
      <c r="I129">
        <v>57</v>
      </c>
      <c r="J129">
        <v>32</v>
      </c>
      <c r="K129">
        <v>4</v>
      </c>
      <c r="L129">
        <v>2605</v>
      </c>
      <c r="M129">
        <v>11691</v>
      </c>
      <c r="N129">
        <v>4.7</v>
      </c>
      <c r="O129">
        <v>3</v>
      </c>
      <c r="P129">
        <v>0.31</v>
      </c>
      <c r="Q129">
        <v>7321</v>
      </c>
      <c r="T129" t="str">
        <f t="shared" si="1"/>
        <v/>
      </c>
    </row>
    <row r="130" spans="1:20" x14ac:dyDescent="0.3">
      <c r="A130" t="s">
        <v>168</v>
      </c>
      <c r="B130" t="s">
        <v>22</v>
      </c>
      <c r="C130" t="s">
        <v>32</v>
      </c>
      <c r="D130" t="s">
        <v>33</v>
      </c>
      <c r="E130" t="s">
        <v>34</v>
      </c>
      <c r="F130">
        <v>31</v>
      </c>
      <c r="G130">
        <v>15.5</v>
      </c>
      <c r="H130">
        <v>61</v>
      </c>
      <c r="I130">
        <v>74</v>
      </c>
      <c r="J130">
        <v>54</v>
      </c>
      <c r="K130">
        <v>7</v>
      </c>
      <c r="L130">
        <v>8674</v>
      </c>
      <c r="M130">
        <v>53498</v>
      </c>
      <c r="N130">
        <v>4.7</v>
      </c>
      <c r="O130">
        <v>3</v>
      </c>
      <c r="P130">
        <v>0.56000000000000005</v>
      </c>
      <c r="Q130">
        <v>43510</v>
      </c>
      <c r="T130" t="str">
        <f t="shared" ref="T130:T193" si="2">IF(R130="Premium Loyalists","VIP access + premium bundle",IF(R130="Digital Deal Seekers","Limited-time online coupon",IF(R130="High Potential","Onboarding + cross-sell",IF(R130="At-Risk High Value","Win-back concierge call",IF(R130="Value Regulars","Subscribe &amp; save","") ))))</f>
        <v/>
      </c>
    </row>
    <row r="131" spans="1:20" x14ac:dyDescent="0.3">
      <c r="A131" t="s">
        <v>169</v>
      </c>
      <c r="B131" t="s">
        <v>28</v>
      </c>
      <c r="C131" t="s">
        <v>29</v>
      </c>
      <c r="D131" t="s">
        <v>46</v>
      </c>
      <c r="E131" t="s">
        <v>34</v>
      </c>
      <c r="F131">
        <v>45</v>
      </c>
      <c r="G131">
        <v>9.9</v>
      </c>
      <c r="H131">
        <v>83</v>
      </c>
      <c r="I131">
        <v>45</v>
      </c>
      <c r="J131">
        <v>2</v>
      </c>
      <c r="K131">
        <v>6</v>
      </c>
      <c r="L131">
        <v>4089</v>
      </c>
      <c r="M131">
        <v>26438</v>
      </c>
      <c r="N131">
        <v>5</v>
      </c>
      <c r="O131">
        <v>4</v>
      </c>
      <c r="P131">
        <v>0.55000000000000004</v>
      </c>
      <c r="Q131">
        <v>23477</v>
      </c>
      <c r="T131" t="str">
        <f t="shared" si="2"/>
        <v/>
      </c>
    </row>
    <row r="132" spans="1:20" x14ac:dyDescent="0.3">
      <c r="A132" t="s">
        <v>170</v>
      </c>
      <c r="B132" t="s">
        <v>40</v>
      </c>
      <c r="C132" t="s">
        <v>41</v>
      </c>
      <c r="D132" t="s">
        <v>37</v>
      </c>
      <c r="E132" t="s">
        <v>34</v>
      </c>
      <c r="F132">
        <v>29</v>
      </c>
      <c r="G132">
        <v>11.2</v>
      </c>
      <c r="H132">
        <v>46</v>
      </c>
      <c r="I132">
        <v>59</v>
      </c>
      <c r="J132">
        <v>46</v>
      </c>
      <c r="K132">
        <v>4</v>
      </c>
      <c r="L132">
        <v>5884</v>
      </c>
      <c r="M132">
        <v>26000</v>
      </c>
      <c r="N132">
        <v>4.0999999999999996</v>
      </c>
      <c r="O132">
        <v>1</v>
      </c>
      <c r="P132">
        <v>0.16</v>
      </c>
      <c r="Q132">
        <v>19765</v>
      </c>
      <c r="T132" t="str">
        <f t="shared" si="2"/>
        <v/>
      </c>
    </row>
    <row r="133" spans="1:20" x14ac:dyDescent="0.3">
      <c r="A133" t="s">
        <v>171</v>
      </c>
      <c r="B133" t="s">
        <v>40</v>
      </c>
      <c r="C133" t="s">
        <v>23</v>
      </c>
      <c r="D133" t="s">
        <v>37</v>
      </c>
      <c r="E133" t="s">
        <v>34</v>
      </c>
      <c r="F133">
        <v>35</v>
      </c>
      <c r="G133">
        <v>16.399999999999999</v>
      </c>
      <c r="H133">
        <v>62</v>
      </c>
      <c r="I133">
        <v>86</v>
      </c>
      <c r="J133">
        <v>31</v>
      </c>
      <c r="K133">
        <v>6</v>
      </c>
      <c r="L133">
        <v>2191</v>
      </c>
      <c r="M133">
        <v>13921</v>
      </c>
      <c r="N133">
        <v>4.0999999999999996</v>
      </c>
      <c r="O133">
        <v>3</v>
      </c>
      <c r="P133">
        <v>0.35</v>
      </c>
      <c r="Q133">
        <v>11961</v>
      </c>
      <c r="T133" t="str">
        <f t="shared" si="2"/>
        <v/>
      </c>
    </row>
    <row r="134" spans="1:20" x14ac:dyDescent="0.3">
      <c r="A134" t="s">
        <v>172</v>
      </c>
      <c r="B134" t="s">
        <v>22</v>
      </c>
      <c r="C134" t="s">
        <v>41</v>
      </c>
      <c r="D134" t="s">
        <v>37</v>
      </c>
      <c r="E134" t="s">
        <v>34</v>
      </c>
      <c r="F134">
        <v>46</v>
      </c>
      <c r="G134">
        <v>11.1</v>
      </c>
      <c r="H134">
        <v>39</v>
      </c>
      <c r="I134">
        <v>46</v>
      </c>
      <c r="J134">
        <v>23</v>
      </c>
      <c r="K134">
        <v>4</v>
      </c>
      <c r="L134">
        <v>3267</v>
      </c>
      <c r="M134">
        <v>13642</v>
      </c>
      <c r="N134">
        <v>4.5999999999999996</v>
      </c>
      <c r="O134">
        <v>4</v>
      </c>
      <c r="P134">
        <v>0.77</v>
      </c>
      <c r="Q134">
        <v>10506</v>
      </c>
      <c r="T134" t="str">
        <f t="shared" si="2"/>
        <v/>
      </c>
    </row>
    <row r="135" spans="1:20" x14ac:dyDescent="0.3">
      <c r="A135" t="s">
        <v>173</v>
      </c>
      <c r="B135" t="s">
        <v>22</v>
      </c>
      <c r="C135" t="s">
        <v>29</v>
      </c>
      <c r="D135" t="s">
        <v>24</v>
      </c>
      <c r="E135" t="s">
        <v>34</v>
      </c>
      <c r="F135">
        <v>50</v>
      </c>
      <c r="G135">
        <v>10</v>
      </c>
      <c r="H135">
        <v>79</v>
      </c>
      <c r="I135">
        <v>50</v>
      </c>
      <c r="J135">
        <v>26</v>
      </c>
      <c r="K135">
        <v>6</v>
      </c>
      <c r="L135">
        <v>1276</v>
      </c>
      <c r="M135">
        <v>8618</v>
      </c>
      <c r="N135">
        <v>4.2</v>
      </c>
      <c r="O135">
        <v>2</v>
      </c>
      <c r="P135">
        <v>0.35</v>
      </c>
      <c r="Q135">
        <v>7653</v>
      </c>
      <c r="T135" t="str">
        <f t="shared" si="2"/>
        <v/>
      </c>
    </row>
    <row r="136" spans="1:20" x14ac:dyDescent="0.3">
      <c r="A136" t="s">
        <v>174</v>
      </c>
      <c r="B136" t="s">
        <v>22</v>
      </c>
      <c r="C136" t="s">
        <v>32</v>
      </c>
      <c r="D136" t="s">
        <v>24</v>
      </c>
      <c r="E136" t="s">
        <v>34</v>
      </c>
      <c r="F136">
        <v>45</v>
      </c>
      <c r="G136">
        <v>12.5</v>
      </c>
      <c r="H136">
        <v>39</v>
      </c>
      <c r="I136">
        <v>60</v>
      </c>
      <c r="J136">
        <v>65</v>
      </c>
      <c r="K136">
        <v>3</v>
      </c>
      <c r="L136">
        <v>5481</v>
      </c>
      <c r="M136">
        <v>15407</v>
      </c>
      <c r="N136">
        <v>4.2</v>
      </c>
      <c r="O136">
        <v>2</v>
      </c>
      <c r="P136">
        <v>0.17</v>
      </c>
      <c r="Q136">
        <v>10700</v>
      </c>
      <c r="T136" t="str">
        <f t="shared" si="2"/>
        <v/>
      </c>
    </row>
    <row r="137" spans="1:20" x14ac:dyDescent="0.3">
      <c r="A137" t="s">
        <v>175</v>
      </c>
      <c r="B137" t="s">
        <v>22</v>
      </c>
      <c r="C137" t="s">
        <v>23</v>
      </c>
      <c r="D137" t="s">
        <v>46</v>
      </c>
      <c r="E137" t="s">
        <v>50</v>
      </c>
      <c r="F137">
        <v>43</v>
      </c>
      <c r="G137">
        <v>24.9</v>
      </c>
      <c r="H137">
        <v>58</v>
      </c>
      <c r="I137">
        <v>75</v>
      </c>
      <c r="J137">
        <v>28</v>
      </c>
      <c r="K137">
        <v>4</v>
      </c>
      <c r="L137">
        <v>17325</v>
      </c>
      <c r="M137">
        <v>61395</v>
      </c>
      <c r="N137">
        <v>4</v>
      </c>
      <c r="O137">
        <v>3</v>
      </c>
      <c r="P137">
        <v>0.24</v>
      </c>
      <c r="Q137">
        <v>69303</v>
      </c>
      <c r="T137" t="str">
        <f t="shared" si="2"/>
        <v/>
      </c>
    </row>
    <row r="138" spans="1:20" x14ac:dyDescent="0.3">
      <c r="A138" t="s">
        <v>176</v>
      </c>
      <c r="B138" t="s">
        <v>22</v>
      </c>
      <c r="C138" t="s">
        <v>41</v>
      </c>
      <c r="D138" t="s">
        <v>46</v>
      </c>
      <c r="E138" t="s">
        <v>34</v>
      </c>
      <c r="F138">
        <v>18</v>
      </c>
      <c r="G138">
        <v>15.9</v>
      </c>
      <c r="H138">
        <v>46</v>
      </c>
      <c r="I138">
        <v>75</v>
      </c>
      <c r="J138">
        <v>20</v>
      </c>
      <c r="K138">
        <v>4</v>
      </c>
      <c r="L138">
        <v>7653</v>
      </c>
      <c r="M138">
        <v>27078</v>
      </c>
      <c r="N138">
        <v>2.4</v>
      </c>
      <c r="O138">
        <v>3</v>
      </c>
      <c r="P138">
        <v>0.36</v>
      </c>
      <c r="Q138">
        <v>21852</v>
      </c>
      <c r="T138" t="str">
        <f t="shared" si="2"/>
        <v/>
      </c>
    </row>
    <row r="139" spans="1:20" x14ac:dyDescent="0.3">
      <c r="A139" t="s">
        <v>177</v>
      </c>
      <c r="B139" t="s">
        <v>22</v>
      </c>
      <c r="C139" t="s">
        <v>23</v>
      </c>
      <c r="D139" t="s">
        <v>46</v>
      </c>
      <c r="E139" t="s">
        <v>25</v>
      </c>
      <c r="F139">
        <v>27</v>
      </c>
      <c r="G139">
        <v>5.2</v>
      </c>
      <c r="H139">
        <v>68</v>
      </c>
      <c r="I139">
        <v>88</v>
      </c>
      <c r="J139">
        <v>19</v>
      </c>
      <c r="K139">
        <v>6</v>
      </c>
      <c r="L139">
        <v>1974</v>
      </c>
      <c r="M139">
        <v>12921</v>
      </c>
      <c r="N139">
        <v>4.5999999999999996</v>
      </c>
      <c r="O139">
        <v>4</v>
      </c>
      <c r="P139">
        <v>0.45</v>
      </c>
      <c r="Q139">
        <v>8605</v>
      </c>
      <c r="T139" t="str">
        <f t="shared" si="2"/>
        <v/>
      </c>
    </row>
    <row r="140" spans="1:20" x14ac:dyDescent="0.3">
      <c r="A140" t="s">
        <v>178</v>
      </c>
      <c r="B140" t="s">
        <v>40</v>
      </c>
      <c r="C140" t="s">
        <v>23</v>
      </c>
      <c r="D140" t="s">
        <v>37</v>
      </c>
      <c r="E140" t="s">
        <v>25</v>
      </c>
      <c r="F140">
        <v>25</v>
      </c>
      <c r="G140">
        <v>3</v>
      </c>
      <c r="H140">
        <v>71</v>
      </c>
      <c r="I140">
        <v>82</v>
      </c>
      <c r="J140">
        <v>62</v>
      </c>
      <c r="K140">
        <v>6</v>
      </c>
      <c r="L140">
        <v>2973</v>
      </c>
      <c r="M140">
        <v>18745</v>
      </c>
      <c r="N140">
        <v>5</v>
      </c>
      <c r="O140">
        <v>5</v>
      </c>
      <c r="P140">
        <v>0.65</v>
      </c>
      <c r="Q140">
        <v>11864</v>
      </c>
      <c r="T140" t="str">
        <f t="shared" si="2"/>
        <v/>
      </c>
    </row>
    <row r="141" spans="1:20" x14ac:dyDescent="0.3">
      <c r="A141" t="s">
        <v>179</v>
      </c>
      <c r="B141" t="s">
        <v>44</v>
      </c>
      <c r="C141" t="s">
        <v>23</v>
      </c>
      <c r="D141" t="s">
        <v>33</v>
      </c>
      <c r="E141" t="s">
        <v>34</v>
      </c>
      <c r="F141">
        <v>53</v>
      </c>
      <c r="G141">
        <v>8.9</v>
      </c>
      <c r="H141">
        <v>66</v>
      </c>
      <c r="I141">
        <v>56</v>
      </c>
      <c r="J141">
        <v>56</v>
      </c>
      <c r="K141">
        <v>4</v>
      </c>
      <c r="L141">
        <v>4037</v>
      </c>
      <c r="M141">
        <v>16279</v>
      </c>
      <c r="N141">
        <v>5</v>
      </c>
      <c r="O141">
        <v>3</v>
      </c>
      <c r="P141">
        <v>0.18</v>
      </c>
      <c r="Q141">
        <v>13547</v>
      </c>
      <c r="T141" t="str">
        <f t="shared" si="2"/>
        <v/>
      </c>
    </row>
    <row r="142" spans="1:20" x14ac:dyDescent="0.3">
      <c r="A142" t="s">
        <v>180</v>
      </c>
      <c r="B142" t="s">
        <v>40</v>
      </c>
      <c r="C142" t="s">
        <v>23</v>
      </c>
      <c r="D142" t="s">
        <v>37</v>
      </c>
      <c r="E142" t="s">
        <v>25</v>
      </c>
      <c r="F142">
        <v>37</v>
      </c>
      <c r="G142">
        <v>6.7</v>
      </c>
      <c r="H142">
        <v>82</v>
      </c>
      <c r="I142">
        <v>95</v>
      </c>
      <c r="J142">
        <v>26</v>
      </c>
      <c r="K142">
        <v>3</v>
      </c>
      <c r="L142">
        <v>1446</v>
      </c>
      <c r="M142">
        <v>4036</v>
      </c>
      <c r="N142">
        <v>4.8</v>
      </c>
      <c r="O142">
        <v>3</v>
      </c>
      <c r="P142">
        <v>0.31</v>
      </c>
      <c r="Q142">
        <v>2688</v>
      </c>
      <c r="T142" t="str">
        <f t="shared" si="2"/>
        <v/>
      </c>
    </row>
    <row r="143" spans="1:20" x14ac:dyDescent="0.3">
      <c r="A143" t="s">
        <v>181</v>
      </c>
      <c r="B143" t="s">
        <v>40</v>
      </c>
      <c r="C143" t="s">
        <v>23</v>
      </c>
      <c r="D143" t="s">
        <v>24</v>
      </c>
      <c r="E143" t="s">
        <v>50</v>
      </c>
      <c r="F143">
        <v>47</v>
      </c>
      <c r="G143">
        <v>24.4</v>
      </c>
      <c r="H143">
        <v>46</v>
      </c>
      <c r="I143">
        <v>75</v>
      </c>
      <c r="J143">
        <v>19</v>
      </c>
      <c r="K143">
        <v>3</v>
      </c>
      <c r="L143">
        <v>19899</v>
      </c>
      <c r="M143">
        <v>54268</v>
      </c>
      <c r="N143">
        <v>4.2</v>
      </c>
      <c r="O143">
        <v>4</v>
      </c>
      <c r="P143">
        <v>0.4</v>
      </c>
      <c r="Q143">
        <v>58523</v>
      </c>
      <c r="T143" t="str">
        <f t="shared" si="2"/>
        <v/>
      </c>
    </row>
    <row r="144" spans="1:20" x14ac:dyDescent="0.3">
      <c r="A144" t="s">
        <v>182</v>
      </c>
      <c r="B144" t="s">
        <v>44</v>
      </c>
      <c r="C144" t="s">
        <v>23</v>
      </c>
      <c r="D144" t="s">
        <v>46</v>
      </c>
      <c r="E144" t="s">
        <v>25</v>
      </c>
      <c r="F144">
        <v>41</v>
      </c>
      <c r="G144">
        <v>6.4</v>
      </c>
      <c r="H144">
        <v>53</v>
      </c>
      <c r="I144">
        <v>78</v>
      </c>
      <c r="J144">
        <v>2</v>
      </c>
      <c r="K144">
        <v>4</v>
      </c>
      <c r="L144">
        <v>2657</v>
      </c>
      <c r="M144">
        <v>9765</v>
      </c>
      <c r="N144">
        <v>4.5</v>
      </c>
      <c r="O144">
        <v>3</v>
      </c>
      <c r="P144">
        <v>0.35</v>
      </c>
      <c r="Q144">
        <v>6378</v>
      </c>
      <c r="T144" t="str">
        <f t="shared" si="2"/>
        <v/>
      </c>
    </row>
    <row r="145" spans="1:20" x14ac:dyDescent="0.3">
      <c r="A145" t="s">
        <v>183</v>
      </c>
      <c r="B145" t="s">
        <v>22</v>
      </c>
      <c r="C145" t="s">
        <v>29</v>
      </c>
      <c r="D145" t="s">
        <v>46</v>
      </c>
      <c r="E145" t="s">
        <v>34</v>
      </c>
      <c r="F145">
        <v>29</v>
      </c>
      <c r="G145">
        <v>16.399999999999999</v>
      </c>
      <c r="H145">
        <v>60</v>
      </c>
      <c r="I145">
        <v>74</v>
      </c>
      <c r="J145">
        <v>2</v>
      </c>
      <c r="K145">
        <v>5</v>
      </c>
      <c r="L145">
        <v>7458</v>
      </c>
      <c r="M145">
        <v>40715</v>
      </c>
      <c r="N145">
        <v>4.0999999999999996</v>
      </c>
      <c r="O145">
        <v>3</v>
      </c>
      <c r="P145">
        <v>0.25</v>
      </c>
      <c r="Q145">
        <v>36155</v>
      </c>
      <c r="T145" t="str">
        <f t="shared" si="2"/>
        <v/>
      </c>
    </row>
    <row r="146" spans="1:20" x14ac:dyDescent="0.3">
      <c r="A146" t="s">
        <v>184</v>
      </c>
      <c r="B146" t="s">
        <v>44</v>
      </c>
      <c r="C146" t="s">
        <v>41</v>
      </c>
      <c r="D146" t="s">
        <v>24</v>
      </c>
      <c r="E146" t="s">
        <v>34</v>
      </c>
      <c r="F146">
        <v>40</v>
      </c>
      <c r="G146">
        <v>7.3</v>
      </c>
      <c r="H146">
        <v>39</v>
      </c>
      <c r="I146">
        <v>45</v>
      </c>
      <c r="J146">
        <v>34</v>
      </c>
      <c r="K146">
        <v>6</v>
      </c>
      <c r="L146">
        <v>6029</v>
      </c>
      <c r="M146">
        <v>31044</v>
      </c>
      <c r="N146">
        <v>4.3</v>
      </c>
      <c r="O146">
        <v>4</v>
      </c>
      <c r="P146">
        <v>0.5</v>
      </c>
      <c r="Q146">
        <v>23292</v>
      </c>
      <c r="T146" t="str">
        <f t="shared" si="2"/>
        <v/>
      </c>
    </row>
    <row r="147" spans="1:20" x14ac:dyDescent="0.3">
      <c r="A147" t="s">
        <v>185</v>
      </c>
      <c r="B147" t="s">
        <v>40</v>
      </c>
      <c r="C147" t="s">
        <v>23</v>
      </c>
      <c r="D147" t="s">
        <v>24</v>
      </c>
      <c r="E147" t="s">
        <v>34</v>
      </c>
      <c r="F147">
        <v>42</v>
      </c>
      <c r="G147">
        <v>6.1</v>
      </c>
      <c r="H147">
        <v>81</v>
      </c>
      <c r="I147">
        <v>60</v>
      </c>
      <c r="J147">
        <v>2</v>
      </c>
      <c r="K147">
        <v>5</v>
      </c>
      <c r="L147">
        <v>4762</v>
      </c>
      <c r="M147">
        <v>26397</v>
      </c>
      <c r="N147">
        <v>4.0999999999999996</v>
      </c>
      <c r="O147">
        <v>4</v>
      </c>
      <c r="P147">
        <v>0.5</v>
      </c>
      <c r="Q147">
        <v>23441</v>
      </c>
      <c r="T147" t="str">
        <f t="shared" si="2"/>
        <v/>
      </c>
    </row>
    <row r="148" spans="1:20" x14ac:dyDescent="0.3">
      <c r="A148" t="s">
        <v>186</v>
      </c>
      <c r="B148" t="s">
        <v>22</v>
      </c>
      <c r="C148" t="s">
        <v>23</v>
      </c>
      <c r="D148" t="s">
        <v>33</v>
      </c>
      <c r="E148" t="s">
        <v>34</v>
      </c>
      <c r="F148">
        <v>27</v>
      </c>
      <c r="G148">
        <v>12.5</v>
      </c>
      <c r="H148">
        <v>89</v>
      </c>
      <c r="I148">
        <v>79</v>
      </c>
      <c r="J148">
        <v>2</v>
      </c>
      <c r="K148">
        <v>6</v>
      </c>
      <c r="L148">
        <v>4097</v>
      </c>
      <c r="M148">
        <v>25244</v>
      </c>
      <c r="N148">
        <v>5</v>
      </c>
      <c r="O148">
        <v>3</v>
      </c>
      <c r="P148">
        <v>0.17</v>
      </c>
      <c r="Q148">
        <v>22417</v>
      </c>
      <c r="T148" t="str">
        <f t="shared" si="2"/>
        <v/>
      </c>
    </row>
    <row r="149" spans="1:20" x14ac:dyDescent="0.3">
      <c r="A149" t="s">
        <v>187</v>
      </c>
      <c r="B149" t="s">
        <v>40</v>
      </c>
      <c r="C149" t="s">
        <v>41</v>
      </c>
      <c r="D149" t="s">
        <v>33</v>
      </c>
      <c r="E149" t="s">
        <v>34</v>
      </c>
      <c r="F149">
        <v>42</v>
      </c>
      <c r="G149">
        <v>11.9</v>
      </c>
      <c r="H149">
        <v>25</v>
      </c>
      <c r="I149">
        <v>55</v>
      </c>
      <c r="J149">
        <v>52</v>
      </c>
      <c r="K149">
        <v>4</v>
      </c>
      <c r="L149">
        <v>6684</v>
      </c>
      <c r="M149">
        <v>23823</v>
      </c>
      <c r="N149">
        <v>4</v>
      </c>
      <c r="O149">
        <v>2</v>
      </c>
      <c r="P149">
        <v>0.27</v>
      </c>
      <c r="Q149">
        <v>15602</v>
      </c>
      <c r="T149" t="str">
        <f t="shared" si="2"/>
        <v/>
      </c>
    </row>
    <row r="150" spans="1:20" x14ac:dyDescent="0.3">
      <c r="A150" t="s">
        <v>188</v>
      </c>
      <c r="B150" t="s">
        <v>44</v>
      </c>
      <c r="C150" t="s">
        <v>23</v>
      </c>
      <c r="D150" t="s">
        <v>33</v>
      </c>
      <c r="E150" t="s">
        <v>34</v>
      </c>
      <c r="F150">
        <v>31</v>
      </c>
      <c r="G150">
        <v>11.1</v>
      </c>
      <c r="H150">
        <v>57</v>
      </c>
      <c r="I150">
        <v>89</v>
      </c>
      <c r="J150">
        <v>2</v>
      </c>
      <c r="K150">
        <v>3</v>
      </c>
      <c r="L150">
        <v>5109</v>
      </c>
      <c r="M150">
        <v>17139</v>
      </c>
      <c r="N150">
        <v>4.4000000000000004</v>
      </c>
      <c r="O150">
        <v>2</v>
      </c>
      <c r="P150">
        <v>0.32</v>
      </c>
      <c r="Q150">
        <v>15219</v>
      </c>
      <c r="T150" t="str">
        <f t="shared" si="2"/>
        <v/>
      </c>
    </row>
    <row r="151" spans="1:20" x14ac:dyDescent="0.3">
      <c r="A151" t="s">
        <v>189</v>
      </c>
      <c r="B151" t="s">
        <v>44</v>
      </c>
      <c r="C151" t="s">
        <v>29</v>
      </c>
      <c r="D151" t="s">
        <v>33</v>
      </c>
      <c r="E151" t="s">
        <v>34</v>
      </c>
      <c r="F151">
        <v>39</v>
      </c>
      <c r="G151">
        <v>13.6</v>
      </c>
      <c r="H151">
        <v>68</v>
      </c>
      <c r="I151">
        <v>47</v>
      </c>
      <c r="J151">
        <v>25</v>
      </c>
      <c r="K151">
        <v>3</v>
      </c>
      <c r="L151">
        <v>3984</v>
      </c>
      <c r="M151">
        <v>10570</v>
      </c>
      <c r="N151">
        <v>4.4000000000000004</v>
      </c>
      <c r="O151">
        <v>2</v>
      </c>
      <c r="P151">
        <v>0.32</v>
      </c>
      <c r="Q151">
        <v>9386</v>
      </c>
      <c r="T151" t="str">
        <f t="shared" si="2"/>
        <v/>
      </c>
    </row>
    <row r="152" spans="1:20" x14ac:dyDescent="0.3">
      <c r="A152" t="s">
        <v>190</v>
      </c>
      <c r="B152" t="s">
        <v>44</v>
      </c>
      <c r="C152" t="s">
        <v>23</v>
      </c>
      <c r="D152" t="s">
        <v>37</v>
      </c>
      <c r="E152" t="s">
        <v>34</v>
      </c>
      <c r="F152">
        <v>26</v>
      </c>
      <c r="G152">
        <v>11.4</v>
      </c>
      <c r="H152">
        <v>69</v>
      </c>
      <c r="I152">
        <v>93</v>
      </c>
      <c r="J152">
        <v>2</v>
      </c>
      <c r="K152">
        <v>4</v>
      </c>
      <c r="L152">
        <v>3839</v>
      </c>
      <c r="M152">
        <v>16374</v>
      </c>
      <c r="N152">
        <v>3.8</v>
      </c>
      <c r="O152">
        <v>3</v>
      </c>
      <c r="P152">
        <v>0.48</v>
      </c>
      <c r="Q152">
        <v>14540</v>
      </c>
      <c r="T152" t="str">
        <f t="shared" si="2"/>
        <v/>
      </c>
    </row>
    <row r="153" spans="1:20" x14ac:dyDescent="0.3">
      <c r="A153" t="s">
        <v>191</v>
      </c>
      <c r="B153" t="s">
        <v>22</v>
      </c>
      <c r="C153" t="s">
        <v>41</v>
      </c>
      <c r="D153" t="s">
        <v>37</v>
      </c>
      <c r="E153" t="s">
        <v>34</v>
      </c>
      <c r="F153">
        <v>44</v>
      </c>
      <c r="G153">
        <v>10.7</v>
      </c>
      <c r="H153">
        <v>38</v>
      </c>
      <c r="I153">
        <v>44</v>
      </c>
      <c r="J153">
        <v>22</v>
      </c>
      <c r="K153">
        <v>4</v>
      </c>
      <c r="L153">
        <v>6799</v>
      </c>
      <c r="M153">
        <v>28858</v>
      </c>
      <c r="N153">
        <v>3.5</v>
      </c>
      <c r="O153">
        <v>2</v>
      </c>
      <c r="P153">
        <v>0.24</v>
      </c>
      <c r="Q153">
        <v>22146</v>
      </c>
      <c r="T153" t="str">
        <f t="shared" si="2"/>
        <v/>
      </c>
    </row>
    <row r="154" spans="1:20" x14ac:dyDescent="0.3">
      <c r="A154" t="s">
        <v>192</v>
      </c>
      <c r="B154" t="s">
        <v>44</v>
      </c>
      <c r="C154" t="s">
        <v>32</v>
      </c>
      <c r="D154" t="s">
        <v>46</v>
      </c>
      <c r="E154" t="s">
        <v>50</v>
      </c>
      <c r="F154">
        <v>53</v>
      </c>
      <c r="G154">
        <v>23</v>
      </c>
      <c r="H154">
        <v>49</v>
      </c>
      <c r="I154">
        <v>56</v>
      </c>
      <c r="J154">
        <v>59</v>
      </c>
      <c r="K154">
        <v>4</v>
      </c>
      <c r="L154">
        <v>17379</v>
      </c>
      <c r="M154">
        <v>62397</v>
      </c>
      <c r="N154">
        <v>4.5</v>
      </c>
      <c r="O154">
        <v>1</v>
      </c>
      <c r="P154">
        <v>0.18</v>
      </c>
      <c r="Q154">
        <v>62422</v>
      </c>
      <c r="T154" t="str">
        <f t="shared" si="2"/>
        <v/>
      </c>
    </row>
    <row r="155" spans="1:20" x14ac:dyDescent="0.3">
      <c r="A155" t="s">
        <v>193</v>
      </c>
      <c r="B155" t="s">
        <v>40</v>
      </c>
      <c r="C155" t="s">
        <v>23</v>
      </c>
      <c r="D155" t="s">
        <v>24</v>
      </c>
      <c r="E155" t="s">
        <v>25</v>
      </c>
      <c r="F155">
        <v>34</v>
      </c>
      <c r="G155">
        <v>3.3</v>
      </c>
      <c r="H155">
        <v>71</v>
      </c>
      <c r="I155">
        <v>80</v>
      </c>
      <c r="J155">
        <v>37</v>
      </c>
      <c r="K155">
        <v>6</v>
      </c>
      <c r="L155">
        <v>2068</v>
      </c>
      <c r="M155">
        <v>13378</v>
      </c>
      <c r="N155">
        <v>4.8</v>
      </c>
      <c r="O155">
        <v>3</v>
      </c>
      <c r="P155">
        <v>0.19</v>
      </c>
      <c r="Q155">
        <v>8910</v>
      </c>
      <c r="T155" t="str">
        <f t="shared" si="2"/>
        <v/>
      </c>
    </row>
    <row r="156" spans="1:20" x14ac:dyDescent="0.3">
      <c r="A156" t="s">
        <v>194</v>
      </c>
      <c r="B156" t="s">
        <v>22</v>
      </c>
      <c r="C156" t="s">
        <v>23</v>
      </c>
      <c r="D156" t="s">
        <v>37</v>
      </c>
      <c r="E156" t="s">
        <v>25</v>
      </c>
      <c r="F156">
        <v>37</v>
      </c>
      <c r="G156">
        <v>9.1</v>
      </c>
      <c r="H156">
        <v>68</v>
      </c>
      <c r="I156">
        <v>63</v>
      </c>
      <c r="J156">
        <v>2</v>
      </c>
      <c r="K156">
        <v>8</v>
      </c>
      <c r="L156">
        <v>3547</v>
      </c>
      <c r="M156">
        <v>30552</v>
      </c>
      <c r="N156">
        <v>4.5</v>
      </c>
      <c r="O156">
        <v>4</v>
      </c>
      <c r="P156">
        <v>0.25</v>
      </c>
      <c r="Q156">
        <v>20348</v>
      </c>
      <c r="T156" t="str">
        <f t="shared" si="2"/>
        <v/>
      </c>
    </row>
    <row r="157" spans="1:20" x14ac:dyDescent="0.3">
      <c r="A157" t="s">
        <v>195</v>
      </c>
      <c r="B157" t="s">
        <v>40</v>
      </c>
      <c r="C157" t="s">
        <v>32</v>
      </c>
      <c r="D157" t="s">
        <v>33</v>
      </c>
      <c r="E157" t="s">
        <v>50</v>
      </c>
      <c r="F157">
        <v>23</v>
      </c>
      <c r="G157">
        <v>21.4</v>
      </c>
      <c r="H157">
        <v>62</v>
      </c>
      <c r="I157">
        <v>72</v>
      </c>
      <c r="J157">
        <v>31</v>
      </c>
      <c r="K157">
        <v>6</v>
      </c>
      <c r="L157">
        <v>11997</v>
      </c>
      <c r="M157">
        <v>66845</v>
      </c>
      <c r="N157">
        <v>5</v>
      </c>
      <c r="O157">
        <v>2</v>
      </c>
      <c r="P157">
        <v>7.0000000000000007E-2</v>
      </c>
      <c r="Q157">
        <v>76578</v>
      </c>
      <c r="T157" t="str">
        <f t="shared" si="2"/>
        <v/>
      </c>
    </row>
    <row r="158" spans="1:20" x14ac:dyDescent="0.3">
      <c r="A158" t="s">
        <v>196</v>
      </c>
      <c r="B158" t="s">
        <v>22</v>
      </c>
      <c r="C158" t="s">
        <v>23</v>
      </c>
      <c r="D158" t="s">
        <v>37</v>
      </c>
      <c r="E158" t="s">
        <v>34</v>
      </c>
      <c r="F158">
        <v>44</v>
      </c>
      <c r="G158">
        <v>8.6</v>
      </c>
      <c r="H158">
        <v>79</v>
      </c>
      <c r="I158">
        <v>83</v>
      </c>
      <c r="J158">
        <v>40</v>
      </c>
      <c r="K158">
        <v>8</v>
      </c>
      <c r="L158">
        <v>5316</v>
      </c>
      <c r="M158">
        <v>47182</v>
      </c>
      <c r="N158">
        <v>4</v>
      </c>
      <c r="O158">
        <v>3</v>
      </c>
      <c r="P158">
        <v>0.25</v>
      </c>
      <c r="Q158">
        <v>41898</v>
      </c>
      <c r="T158" t="str">
        <f t="shared" si="2"/>
        <v/>
      </c>
    </row>
    <row r="159" spans="1:20" x14ac:dyDescent="0.3">
      <c r="A159" t="s">
        <v>197</v>
      </c>
      <c r="B159" t="s">
        <v>40</v>
      </c>
      <c r="C159" t="s">
        <v>29</v>
      </c>
      <c r="D159" t="s">
        <v>37</v>
      </c>
      <c r="E159" t="s">
        <v>34</v>
      </c>
      <c r="F159">
        <v>20</v>
      </c>
      <c r="G159">
        <v>7.4</v>
      </c>
      <c r="H159">
        <v>54</v>
      </c>
      <c r="I159">
        <v>70</v>
      </c>
      <c r="J159">
        <v>2</v>
      </c>
      <c r="K159">
        <v>5</v>
      </c>
      <c r="L159">
        <v>2957</v>
      </c>
      <c r="M159">
        <v>13936</v>
      </c>
      <c r="N159">
        <v>3.8</v>
      </c>
      <c r="O159">
        <v>3</v>
      </c>
      <c r="P159">
        <v>0.47</v>
      </c>
      <c r="Q159">
        <v>12200</v>
      </c>
      <c r="T159" t="str">
        <f t="shared" si="2"/>
        <v/>
      </c>
    </row>
    <row r="160" spans="1:20" x14ac:dyDescent="0.3">
      <c r="A160" t="s">
        <v>198</v>
      </c>
      <c r="B160" t="s">
        <v>22</v>
      </c>
      <c r="C160" t="s">
        <v>23</v>
      </c>
      <c r="D160" t="s">
        <v>37</v>
      </c>
      <c r="E160" t="s">
        <v>50</v>
      </c>
      <c r="F160">
        <v>42</v>
      </c>
      <c r="G160">
        <v>26</v>
      </c>
      <c r="H160">
        <v>72</v>
      </c>
      <c r="I160">
        <v>97</v>
      </c>
      <c r="J160">
        <v>34</v>
      </c>
      <c r="K160">
        <v>5</v>
      </c>
      <c r="L160">
        <v>10537</v>
      </c>
      <c r="M160">
        <v>45915</v>
      </c>
      <c r="N160">
        <v>4.5</v>
      </c>
      <c r="O160">
        <v>3</v>
      </c>
      <c r="P160">
        <v>0.14000000000000001</v>
      </c>
      <c r="Q160">
        <v>54363</v>
      </c>
      <c r="T160" t="str">
        <f t="shared" si="2"/>
        <v/>
      </c>
    </row>
    <row r="161" spans="1:20" x14ac:dyDescent="0.3">
      <c r="A161" t="s">
        <v>199</v>
      </c>
      <c r="B161" t="s">
        <v>22</v>
      </c>
      <c r="C161" t="s">
        <v>29</v>
      </c>
      <c r="D161" t="s">
        <v>33</v>
      </c>
      <c r="E161" t="s">
        <v>25</v>
      </c>
      <c r="F161">
        <v>22</v>
      </c>
      <c r="G161">
        <v>7</v>
      </c>
      <c r="H161">
        <v>61</v>
      </c>
      <c r="I161">
        <v>41</v>
      </c>
      <c r="J161">
        <v>45</v>
      </c>
      <c r="K161">
        <v>5</v>
      </c>
      <c r="L161">
        <v>3462</v>
      </c>
      <c r="M161">
        <v>15878</v>
      </c>
      <c r="N161">
        <v>4.7</v>
      </c>
      <c r="O161">
        <v>4</v>
      </c>
      <c r="P161">
        <v>0.61</v>
      </c>
      <c r="Q161">
        <v>9878</v>
      </c>
      <c r="T161" t="str">
        <f t="shared" si="2"/>
        <v/>
      </c>
    </row>
    <row r="162" spans="1:20" x14ac:dyDescent="0.3">
      <c r="A162" t="s">
        <v>200</v>
      </c>
      <c r="B162" t="s">
        <v>44</v>
      </c>
      <c r="C162" t="s">
        <v>23</v>
      </c>
      <c r="D162" t="s">
        <v>24</v>
      </c>
      <c r="E162" t="s">
        <v>34</v>
      </c>
      <c r="F162">
        <v>30</v>
      </c>
      <c r="G162">
        <v>10.6</v>
      </c>
      <c r="H162">
        <v>57</v>
      </c>
      <c r="I162">
        <v>89</v>
      </c>
      <c r="J162">
        <v>63</v>
      </c>
      <c r="K162">
        <v>3</v>
      </c>
      <c r="L162">
        <v>5818</v>
      </c>
      <c r="M162">
        <v>17768</v>
      </c>
      <c r="N162">
        <v>3.9</v>
      </c>
      <c r="O162">
        <v>3</v>
      </c>
      <c r="P162">
        <v>0.4</v>
      </c>
      <c r="Q162">
        <v>13843</v>
      </c>
      <c r="T162" t="str">
        <f t="shared" si="2"/>
        <v/>
      </c>
    </row>
    <row r="163" spans="1:20" x14ac:dyDescent="0.3">
      <c r="A163" t="s">
        <v>201</v>
      </c>
      <c r="B163" t="s">
        <v>22</v>
      </c>
      <c r="C163" t="s">
        <v>29</v>
      </c>
      <c r="D163" t="s">
        <v>33</v>
      </c>
      <c r="E163" t="s">
        <v>25</v>
      </c>
      <c r="F163">
        <v>33</v>
      </c>
      <c r="G163">
        <v>8.6</v>
      </c>
      <c r="H163">
        <v>34</v>
      </c>
      <c r="I163">
        <v>55</v>
      </c>
      <c r="J163">
        <v>48</v>
      </c>
      <c r="K163">
        <v>5</v>
      </c>
      <c r="L163">
        <v>1970</v>
      </c>
      <c r="M163">
        <v>8897</v>
      </c>
      <c r="N163">
        <v>4.5</v>
      </c>
      <c r="O163">
        <v>4</v>
      </c>
      <c r="P163">
        <v>0.41</v>
      </c>
      <c r="Q163">
        <v>4688</v>
      </c>
      <c r="T163" t="str">
        <f t="shared" si="2"/>
        <v/>
      </c>
    </row>
    <row r="164" spans="1:20" x14ac:dyDescent="0.3">
      <c r="A164" t="s">
        <v>202</v>
      </c>
      <c r="B164" t="s">
        <v>44</v>
      </c>
      <c r="C164" t="s">
        <v>29</v>
      </c>
      <c r="D164" t="s">
        <v>24</v>
      </c>
      <c r="E164" t="s">
        <v>34</v>
      </c>
      <c r="F164">
        <v>42</v>
      </c>
      <c r="G164">
        <v>16.600000000000001</v>
      </c>
      <c r="H164">
        <v>84</v>
      </c>
      <c r="I164">
        <v>23</v>
      </c>
      <c r="J164">
        <v>24</v>
      </c>
      <c r="K164">
        <v>9</v>
      </c>
      <c r="L164">
        <v>6776</v>
      </c>
      <c r="M164">
        <v>69218</v>
      </c>
      <c r="N164">
        <v>4.0999999999999996</v>
      </c>
      <c r="O164">
        <v>3</v>
      </c>
      <c r="P164">
        <v>0.48</v>
      </c>
      <c r="Q164">
        <v>61466</v>
      </c>
      <c r="T164" t="str">
        <f t="shared" si="2"/>
        <v/>
      </c>
    </row>
    <row r="165" spans="1:20" x14ac:dyDescent="0.3">
      <c r="A165" t="s">
        <v>203</v>
      </c>
      <c r="B165" t="s">
        <v>44</v>
      </c>
      <c r="C165" t="s">
        <v>23</v>
      </c>
      <c r="D165" t="s">
        <v>37</v>
      </c>
      <c r="E165" t="s">
        <v>34</v>
      </c>
      <c r="F165">
        <v>47</v>
      </c>
      <c r="G165">
        <v>11.1</v>
      </c>
      <c r="H165">
        <v>42</v>
      </c>
      <c r="I165">
        <v>65</v>
      </c>
      <c r="J165">
        <v>25</v>
      </c>
      <c r="K165">
        <v>4</v>
      </c>
      <c r="L165">
        <v>3915</v>
      </c>
      <c r="M165">
        <v>17183</v>
      </c>
      <c r="N165">
        <v>4.3</v>
      </c>
      <c r="O165">
        <v>3</v>
      </c>
      <c r="P165">
        <v>0.11</v>
      </c>
      <c r="Q165">
        <v>13403</v>
      </c>
      <c r="T165" t="str">
        <f t="shared" si="2"/>
        <v/>
      </c>
    </row>
    <row r="166" spans="1:20" x14ac:dyDescent="0.3">
      <c r="A166" t="s">
        <v>204</v>
      </c>
      <c r="B166" t="s">
        <v>28</v>
      </c>
      <c r="C166" t="s">
        <v>29</v>
      </c>
      <c r="D166" t="s">
        <v>37</v>
      </c>
      <c r="E166" t="s">
        <v>50</v>
      </c>
      <c r="F166">
        <v>34</v>
      </c>
      <c r="G166">
        <v>21.4</v>
      </c>
      <c r="H166">
        <v>59</v>
      </c>
      <c r="I166">
        <v>63</v>
      </c>
      <c r="J166">
        <v>41</v>
      </c>
      <c r="K166">
        <v>7</v>
      </c>
      <c r="L166">
        <v>16499</v>
      </c>
      <c r="M166">
        <v>114874</v>
      </c>
      <c r="N166">
        <v>4.5</v>
      </c>
      <c r="O166">
        <v>2</v>
      </c>
      <c r="P166">
        <v>0.44</v>
      </c>
      <c r="Q166">
        <v>126775</v>
      </c>
      <c r="T166" t="str">
        <f t="shared" si="2"/>
        <v/>
      </c>
    </row>
    <row r="167" spans="1:20" x14ac:dyDescent="0.3">
      <c r="A167" t="s">
        <v>205</v>
      </c>
      <c r="B167" t="s">
        <v>40</v>
      </c>
      <c r="C167" t="s">
        <v>32</v>
      </c>
      <c r="D167" t="s">
        <v>24</v>
      </c>
      <c r="E167" t="s">
        <v>25</v>
      </c>
      <c r="F167">
        <v>25</v>
      </c>
      <c r="G167">
        <v>6.9</v>
      </c>
      <c r="H167">
        <v>64</v>
      </c>
      <c r="I167">
        <v>97</v>
      </c>
      <c r="J167">
        <v>43</v>
      </c>
      <c r="K167">
        <v>6</v>
      </c>
      <c r="L167">
        <v>3445</v>
      </c>
      <c r="M167">
        <v>22869</v>
      </c>
      <c r="N167">
        <v>4.5999999999999996</v>
      </c>
      <c r="O167">
        <v>5</v>
      </c>
      <c r="P167">
        <v>0.68</v>
      </c>
      <c r="Q167">
        <v>14521</v>
      </c>
      <c r="T167" t="str">
        <f t="shared" si="2"/>
        <v/>
      </c>
    </row>
    <row r="168" spans="1:20" x14ac:dyDescent="0.3">
      <c r="A168" t="s">
        <v>206</v>
      </c>
      <c r="B168" t="s">
        <v>22</v>
      </c>
      <c r="C168" t="s">
        <v>23</v>
      </c>
      <c r="D168" t="s">
        <v>33</v>
      </c>
      <c r="E168" t="s">
        <v>50</v>
      </c>
      <c r="F168">
        <v>22</v>
      </c>
      <c r="G168">
        <v>29.3</v>
      </c>
      <c r="H168">
        <v>69</v>
      </c>
      <c r="I168">
        <v>79</v>
      </c>
      <c r="J168">
        <v>43</v>
      </c>
      <c r="K168">
        <v>7</v>
      </c>
      <c r="L168">
        <v>13878</v>
      </c>
      <c r="M168">
        <v>96159</v>
      </c>
      <c r="N168">
        <v>4.0999999999999996</v>
      </c>
      <c r="O168">
        <v>1</v>
      </c>
      <c r="P168">
        <v>0.24</v>
      </c>
      <c r="Q168">
        <v>111429</v>
      </c>
      <c r="T168" t="str">
        <f t="shared" si="2"/>
        <v/>
      </c>
    </row>
    <row r="169" spans="1:20" x14ac:dyDescent="0.3">
      <c r="A169" t="s">
        <v>207</v>
      </c>
      <c r="B169" t="s">
        <v>22</v>
      </c>
      <c r="C169" t="s">
        <v>41</v>
      </c>
      <c r="D169" t="s">
        <v>37</v>
      </c>
      <c r="E169" t="s">
        <v>50</v>
      </c>
      <c r="F169">
        <v>23</v>
      </c>
      <c r="G169">
        <v>32</v>
      </c>
      <c r="H169">
        <v>30</v>
      </c>
      <c r="I169">
        <v>52</v>
      </c>
      <c r="J169">
        <v>22</v>
      </c>
      <c r="K169">
        <v>4</v>
      </c>
      <c r="L169">
        <v>20318</v>
      </c>
      <c r="M169">
        <v>73410</v>
      </c>
      <c r="N169">
        <v>3.7</v>
      </c>
      <c r="O169">
        <v>4</v>
      </c>
      <c r="P169">
        <v>0.45</v>
      </c>
      <c r="Q169">
        <v>71589</v>
      </c>
      <c r="T169" t="str">
        <f t="shared" si="2"/>
        <v/>
      </c>
    </row>
    <row r="170" spans="1:20" x14ac:dyDescent="0.3">
      <c r="A170" t="s">
        <v>208</v>
      </c>
      <c r="B170" t="s">
        <v>22</v>
      </c>
      <c r="C170" t="s">
        <v>41</v>
      </c>
      <c r="D170" t="s">
        <v>37</v>
      </c>
      <c r="E170" t="s">
        <v>34</v>
      </c>
      <c r="F170">
        <v>27</v>
      </c>
      <c r="G170">
        <v>10.8</v>
      </c>
      <c r="H170">
        <v>53</v>
      </c>
      <c r="I170">
        <v>48</v>
      </c>
      <c r="J170">
        <v>31</v>
      </c>
      <c r="K170">
        <v>7</v>
      </c>
      <c r="L170">
        <v>8782</v>
      </c>
      <c r="M170">
        <v>53003</v>
      </c>
      <c r="N170">
        <v>4.7</v>
      </c>
      <c r="O170">
        <v>4</v>
      </c>
      <c r="P170">
        <v>0.67</v>
      </c>
      <c r="Q170">
        <v>43394</v>
      </c>
      <c r="T170" t="str">
        <f t="shared" si="2"/>
        <v/>
      </c>
    </row>
    <row r="171" spans="1:20" x14ac:dyDescent="0.3">
      <c r="A171" t="s">
        <v>209</v>
      </c>
      <c r="B171" t="s">
        <v>28</v>
      </c>
      <c r="C171" t="s">
        <v>29</v>
      </c>
      <c r="D171" t="s">
        <v>37</v>
      </c>
      <c r="E171" t="s">
        <v>25</v>
      </c>
      <c r="F171">
        <v>34</v>
      </c>
      <c r="G171">
        <v>7.2</v>
      </c>
      <c r="H171">
        <v>83</v>
      </c>
      <c r="I171">
        <v>31</v>
      </c>
      <c r="J171">
        <v>2</v>
      </c>
      <c r="K171">
        <v>3</v>
      </c>
      <c r="L171">
        <v>2754</v>
      </c>
      <c r="M171">
        <v>7849</v>
      </c>
      <c r="N171">
        <v>4.0999999999999996</v>
      </c>
      <c r="O171">
        <v>4</v>
      </c>
      <c r="P171">
        <v>0.23</v>
      </c>
      <c r="Q171">
        <v>5227</v>
      </c>
      <c r="T171" t="str">
        <f t="shared" si="2"/>
        <v/>
      </c>
    </row>
    <row r="172" spans="1:20" x14ac:dyDescent="0.3">
      <c r="A172" t="s">
        <v>210</v>
      </c>
      <c r="B172" t="s">
        <v>44</v>
      </c>
      <c r="C172" t="s">
        <v>29</v>
      </c>
      <c r="D172" t="s">
        <v>33</v>
      </c>
      <c r="E172" t="s">
        <v>34</v>
      </c>
      <c r="F172">
        <v>47</v>
      </c>
      <c r="G172">
        <v>10.4</v>
      </c>
      <c r="H172">
        <v>47</v>
      </c>
      <c r="I172">
        <v>45</v>
      </c>
      <c r="J172">
        <v>75</v>
      </c>
      <c r="K172">
        <v>4</v>
      </c>
      <c r="L172">
        <v>4909</v>
      </c>
      <c r="M172">
        <v>17207</v>
      </c>
      <c r="N172">
        <v>5</v>
      </c>
      <c r="O172">
        <v>2</v>
      </c>
      <c r="P172">
        <v>0.11</v>
      </c>
      <c r="Q172">
        <v>12260</v>
      </c>
      <c r="T172" t="str">
        <f t="shared" si="2"/>
        <v/>
      </c>
    </row>
    <row r="173" spans="1:20" x14ac:dyDescent="0.3">
      <c r="A173" t="s">
        <v>211</v>
      </c>
      <c r="B173" t="s">
        <v>22</v>
      </c>
      <c r="C173" t="s">
        <v>23</v>
      </c>
      <c r="D173" t="s">
        <v>33</v>
      </c>
      <c r="E173" t="s">
        <v>34</v>
      </c>
      <c r="F173">
        <v>40</v>
      </c>
      <c r="G173">
        <v>14.1</v>
      </c>
      <c r="H173">
        <v>48</v>
      </c>
      <c r="I173">
        <v>61</v>
      </c>
      <c r="J173">
        <v>42</v>
      </c>
      <c r="K173">
        <v>7</v>
      </c>
      <c r="L173">
        <v>6116</v>
      </c>
      <c r="M173">
        <v>46686</v>
      </c>
      <c r="N173">
        <v>4.8</v>
      </c>
      <c r="O173">
        <v>5</v>
      </c>
      <c r="P173">
        <v>0.38</v>
      </c>
      <c r="Q173">
        <v>36247</v>
      </c>
      <c r="T173" t="str">
        <f t="shared" si="2"/>
        <v/>
      </c>
    </row>
    <row r="174" spans="1:20" x14ac:dyDescent="0.3">
      <c r="A174" t="s">
        <v>212</v>
      </c>
      <c r="B174" t="s">
        <v>28</v>
      </c>
      <c r="C174" t="s">
        <v>29</v>
      </c>
      <c r="D174" t="s">
        <v>46</v>
      </c>
      <c r="E174" t="s">
        <v>50</v>
      </c>
      <c r="F174">
        <v>33</v>
      </c>
      <c r="G174">
        <v>18.5</v>
      </c>
      <c r="H174">
        <v>65</v>
      </c>
      <c r="I174">
        <v>71</v>
      </c>
      <c r="J174">
        <v>7</v>
      </c>
      <c r="K174">
        <v>5</v>
      </c>
      <c r="L174">
        <v>14324</v>
      </c>
      <c r="M174">
        <v>79187</v>
      </c>
      <c r="N174">
        <v>3.6</v>
      </c>
      <c r="O174">
        <v>2</v>
      </c>
      <c r="P174">
        <v>0.35</v>
      </c>
      <c r="Q174">
        <v>93757</v>
      </c>
      <c r="T174" t="str">
        <f t="shared" si="2"/>
        <v/>
      </c>
    </row>
    <row r="175" spans="1:20" x14ac:dyDescent="0.3">
      <c r="A175" t="s">
        <v>213</v>
      </c>
      <c r="B175" t="s">
        <v>22</v>
      </c>
      <c r="C175" t="s">
        <v>41</v>
      </c>
      <c r="D175" t="s">
        <v>33</v>
      </c>
      <c r="E175" t="s">
        <v>34</v>
      </c>
      <c r="F175">
        <v>28</v>
      </c>
      <c r="G175">
        <v>9.9</v>
      </c>
      <c r="H175">
        <v>57</v>
      </c>
      <c r="I175">
        <v>73</v>
      </c>
      <c r="J175">
        <v>31</v>
      </c>
      <c r="K175">
        <v>2</v>
      </c>
      <c r="L175">
        <v>4165</v>
      </c>
      <c r="M175">
        <v>8562</v>
      </c>
      <c r="N175">
        <v>4.2</v>
      </c>
      <c r="O175">
        <v>3</v>
      </c>
      <c r="P175">
        <v>0.48</v>
      </c>
      <c r="Q175">
        <v>7164</v>
      </c>
      <c r="T175" t="str">
        <f t="shared" si="2"/>
        <v/>
      </c>
    </row>
    <row r="176" spans="1:20" x14ac:dyDescent="0.3">
      <c r="A176" t="s">
        <v>214</v>
      </c>
      <c r="B176" t="s">
        <v>22</v>
      </c>
      <c r="C176" t="s">
        <v>29</v>
      </c>
      <c r="D176" t="s">
        <v>24</v>
      </c>
      <c r="E176" t="s">
        <v>34</v>
      </c>
      <c r="F176">
        <v>45</v>
      </c>
      <c r="G176">
        <v>12</v>
      </c>
      <c r="H176">
        <v>57</v>
      </c>
      <c r="I176">
        <v>89</v>
      </c>
      <c r="J176">
        <v>8</v>
      </c>
      <c r="K176">
        <v>5</v>
      </c>
      <c r="L176">
        <v>4159</v>
      </c>
      <c r="M176">
        <v>21511</v>
      </c>
      <c r="N176">
        <v>4.0999999999999996</v>
      </c>
      <c r="O176">
        <v>3</v>
      </c>
      <c r="P176">
        <v>0.46</v>
      </c>
      <c r="Q176">
        <v>18889</v>
      </c>
      <c r="T176" t="str">
        <f t="shared" si="2"/>
        <v/>
      </c>
    </row>
    <row r="177" spans="1:20" x14ac:dyDescent="0.3">
      <c r="A177" t="s">
        <v>215</v>
      </c>
      <c r="B177" t="s">
        <v>40</v>
      </c>
      <c r="C177" t="s">
        <v>41</v>
      </c>
      <c r="D177" t="s">
        <v>33</v>
      </c>
      <c r="E177" t="s">
        <v>34</v>
      </c>
      <c r="F177">
        <v>34</v>
      </c>
      <c r="G177">
        <v>12.2</v>
      </c>
      <c r="H177">
        <v>50</v>
      </c>
      <c r="I177">
        <v>37</v>
      </c>
      <c r="J177">
        <v>78</v>
      </c>
      <c r="K177">
        <v>3</v>
      </c>
      <c r="L177">
        <v>6250</v>
      </c>
      <c r="M177">
        <v>19673</v>
      </c>
      <c r="N177">
        <v>3.8</v>
      </c>
      <c r="O177">
        <v>3</v>
      </c>
      <c r="P177">
        <v>0.23</v>
      </c>
      <c r="Q177">
        <v>14176</v>
      </c>
      <c r="T177" t="str">
        <f t="shared" si="2"/>
        <v/>
      </c>
    </row>
    <row r="178" spans="1:20" x14ac:dyDescent="0.3">
      <c r="A178" t="s">
        <v>216</v>
      </c>
      <c r="B178" t="s">
        <v>40</v>
      </c>
      <c r="C178" t="s">
        <v>23</v>
      </c>
      <c r="D178" t="s">
        <v>37</v>
      </c>
      <c r="E178" t="s">
        <v>50</v>
      </c>
      <c r="F178">
        <v>40</v>
      </c>
      <c r="G178">
        <v>21.2</v>
      </c>
      <c r="H178">
        <v>62</v>
      </c>
      <c r="I178">
        <v>79</v>
      </c>
      <c r="J178">
        <v>2</v>
      </c>
      <c r="K178">
        <v>3</v>
      </c>
      <c r="L178">
        <v>14933</v>
      </c>
      <c r="M178">
        <v>51472</v>
      </c>
      <c r="N178">
        <v>4.2</v>
      </c>
      <c r="O178">
        <v>2</v>
      </c>
      <c r="P178">
        <v>0.33</v>
      </c>
      <c r="Q178">
        <v>60943</v>
      </c>
      <c r="T178" t="str">
        <f t="shared" si="2"/>
        <v/>
      </c>
    </row>
    <row r="179" spans="1:20" x14ac:dyDescent="0.3">
      <c r="A179" t="s">
        <v>217</v>
      </c>
      <c r="B179" t="s">
        <v>28</v>
      </c>
      <c r="C179" t="s">
        <v>23</v>
      </c>
      <c r="D179" t="s">
        <v>37</v>
      </c>
      <c r="E179" t="s">
        <v>34</v>
      </c>
      <c r="F179">
        <v>39</v>
      </c>
      <c r="G179">
        <v>11.4</v>
      </c>
      <c r="H179">
        <v>44</v>
      </c>
      <c r="I179">
        <v>50</v>
      </c>
      <c r="J179">
        <v>60</v>
      </c>
      <c r="K179">
        <v>4</v>
      </c>
      <c r="L179">
        <v>4031</v>
      </c>
      <c r="M179">
        <v>18187</v>
      </c>
      <c r="N179">
        <v>3.5</v>
      </c>
      <c r="O179">
        <v>3</v>
      </c>
      <c r="P179">
        <v>0.49</v>
      </c>
      <c r="Q179">
        <v>13204</v>
      </c>
      <c r="T179" t="str">
        <f t="shared" si="2"/>
        <v/>
      </c>
    </row>
    <row r="180" spans="1:20" x14ac:dyDescent="0.3">
      <c r="A180" t="s">
        <v>218</v>
      </c>
      <c r="B180" t="s">
        <v>40</v>
      </c>
      <c r="C180" t="s">
        <v>32</v>
      </c>
      <c r="D180" t="s">
        <v>37</v>
      </c>
      <c r="E180" t="s">
        <v>34</v>
      </c>
      <c r="F180">
        <v>41</v>
      </c>
      <c r="G180">
        <v>11</v>
      </c>
      <c r="H180">
        <v>51</v>
      </c>
      <c r="I180">
        <v>50</v>
      </c>
      <c r="J180">
        <v>48</v>
      </c>
      <c r="K180">
        <v>3</v>
      </c>
      <c r="L180">
        <v>5081</v>
      </c>
      <c r="M180">
        <v>14405</v>
      </c>
      <c r="N180">
        <v>3.6</v>
      </c>
      <c r="O180">
        <v>3</v>
      </c>
      <c r="P180">
        <v>0.17</v>
      </c>
      <c r="Q180">
        <v>11223</v>
      </c>
      <c r="T180" t="str">
        <f t="shared" si="2"/>
        <v/>
      </c>
    </row>
    <row r="181" spans="1:20" x14ac:dyDescent="0.3">
      <c r="A181" t="s">
        <v>219</v>
      </c>
      <c r="B181" t="s">
        <v>28</v>
      </c>
      <c r="C181" t="s">
        <v>29</v>
      </c>
      <c r="D181" t="s">
        <v>33</v>
      </c>
      <c r="E181" t="s">
        <v>34</v>
      </c>
      <c r="F181">
        <v>46</v>
      </c>
      <c r="G181">
        <v>8.8000000000000007</v>
      </c>
      <c r="H181">
        <v>78</v>
      </c>
      <c r="I181">
        <v>51</v>
      </c>
      <c r="J181">
        <v>12</v>
      </c>
      <c r="K181">
        <v>6</v>
      </c>
      <c r="L181">
        <v>6427</v>
      </c>
      <c r="M181">
        <v>33320</v>
      </c>
      <c r="N181">
        <v>5</v>
      </c>
      <c r="O181">
        <v>3</v>
      </c>
      <c r="P181">
        <v>0.39</v>
      </c>
      <c r="Q181">
        <v>29588</v>
      </c>
      <c r="T181" t="str">
        <f t="shared" si="2"/>
        <v/>
      </c>
    </row>
    <row r="182" spans="1:20" x14ac:dyDescent="0.3">
      <c r="A182" t="s">
        <v>220</v>
      </c>
      <c r="B182" t="s">
        <v>22</v>
      </c>
      <c r="C182" t="s">
        <v>23</v>
      </c>
      <c r="D182" t="s">
        <v>33</v>
      </c>
      <c r="E182" t="s">
        <v>50</v>
      </c>
      <c r="F182">
        <v>22</v>
      </c>
      <c r="G182">
        <v>22.3</v>
      </c>
      <c r="H182">
        <v>62</v>
      </c>
      <c r="I182">
        <v>77</v>
      </c>
      <c r="J182">
        <v>35</v>
      </c>
      <c r="K182">
        <v>6</v>
      </c>
      <c r="L182">
        <v>16943</v>
      </c>
      <c r="M182">
        <v>113687</v>
      </c>
      <c r="N182">
        <v>4.4000000000000004</v>
      </c>
      <c r="O182">
        <v>2</v>
      </c>
      <c r="P182">
        <v>0.26</v>
      </c>
      <c r="Q182">
        <v>129148</v>
      </c>
      <c r="T182" t="str">
        <f t="shared" si="2"/>
        <v/>
      </c>
    </row>
    <row r="183" spans="1:20" x14ac:dyDescent="0.3">
      <c r="A183" t="s">
        <v>221</v>
      </c>
      <c r="B183" t="s">
        <v>22</v>
      </c>
      <c r="C183" t="s">
        <v>23</v>
      </c>
      <c r="D183" t="s">
        <v>33</v>
      </c>
      <c r="E183" t="s">
        <v>34</v>
      </c>
      <c r="F183">
        <v>45</v>
      </c>
      <c r="G183">
        <v>6.3</v>
      </c>
      <c r="H183">
        <v>52</v>
      </c>
      <c r="I183">
        <v>76</v>
      </c>
      <c r="J183">
        <v>2</v>
      </c>
      <c r="K183">
        <v>5</v>
      </c>
      <c r="L183">
        <v>5115</v>
      </c>
      <c r="M183">
        <v>26196</v>
      </c>
      <c r="N183">
        <v>4</v>
      </c>
      <c r="O183">
        <v>3</v>
      </c>
      <c r="P183">
        <v>0.34</v>
      </c>
      <c r="Q183">
        <v>22696</v>
      </c>
      <c r="T183" t="str">
        <f t="shared" si="2"/>
        <v/>
      </c>
    </row>
    <row r="184" spans="1:20" x14ac:dyDescent="0.3">
      <c r="A184" t="s">
        <v>222</v>
      </c>
      <c r="B184" t="s">
        <v>28</v>
      </c>
      <c r="C184" t="s">
        <v>29</v>
      </c>
      <c r="D184" t="s">
        <v>46</v>
      </c>
      <c r="E184" t="s">
        <v>50</v>
      </c>
      <c r="F184">
        <v>45</v>
      </c>
      <c r="G184">
        <v>22.3</v>
      </c>
      <c r="H184">
        <v>55</v>
      </c>
      <c r="I184">
        <v>33</v>
      </c>
      <c r="J184">
        <v>24</v>
      </c>
      <c r="K184">
        <v>5</v>
      </c>
      <c r="L184">
        <v>20934</v>
      </c>
      <c r="M184">
        <v>106920</v>
      </c>
      <c r="N184">
        <v>4.2</v>
      </c>
      <c r="O184">
        <v>2</v>
      </c>
      <c r="P184">
        <v>0.14000000000000001</v>
      </c>
      <c r="Q184">
        <v>119793</v>
      </c>
      <c r="T184" t="str">
        <f t="shared" si="2"/>
        <v/>
      </c>
    </row>
    <row r="185" spans="1:20" x14ac:dyDescent="0.3">
      <c r="A185" t="s">
        <v>223</v>
      </c>
      <c r="B185" t="s">
        <v>28</v>
      </c>
      <c r="C185" t="s">
        <v>23</v>
      </c>
      <c r="D185" t="s">
        <v>37</v>
      </c>
      <c r="E185" t="s">
        <v>34</v>
      </c>
      <c r="F185">
        <v>28</v>
      </c>
      <c r="G185">
        <v>8.6</v>
      </c>
      <c r="H185">
        <v>59</v>
      </c>
      <c r="I185">
        <v>76</v>
      </c>
      <c r="J185">
        <v>28</v>
      </c>
      <c r="K185">
        <v>3</v>
      </c>
      <c r="L185">
        <v>2317</v>
      </c>
      <c r="M185">
        <v>6114</v>
      </c>
      <c r="N185">
        <v>4.5999999999999996</v>
      </c>
      <c r="O185">
        <v>3</v>
      </c>
      <c r="P185">
        <v>0.21</v>
      </c>
      <c r="Q185">
        <v>5204</v>
      </c>
      <c r="T185" t="str">
        <f t="shared" si="2"/>
        <v/>
      </c>
    </row>
    <row r="186" spans="1:20" x14ac:dyDescent="0.3">
      <c r="A186" t="s">
        <v>224</v>
      </c>
      <c r="B186" t="s">
        <v>40</v>
      </c>
      <c r="C186" t="s">
        <v>29</v>
      </c>
      <c r="D186" t="s">
        <v>33</v>
      </c>
      <c r="E186" t="s">
        <v>25</v>
      </c>
      <c r="F186">
        <v>40</v>
      </c>
      <c r="G186">
        <v>7.5</v>
      </c>
      <c r="H186">
        <v>43</v>
      </c>
      <c r="I186">
        <v>80</v>
      </c>
      <c r="J186">
        <v>11</v>
      </c>
      <c r="K186">
        <v>3</v>
      </c>
      <c r="L186">
        <v>2288</v>
      </c>
      <c r="M186">
        <v>6023</v>
      </c>
      <c r="N186">
        <v>4.8</v>
      </c>
      <c r="O186">
        <v>4</v>
      </c>
      <c r="P186">
        <v>0.45</v>
      </c>
      <c r="Q186">
        <v>3658</v>
      </c>
      <c r="T186" t="str">
        <f t="shared" si="2"/>
        <v/>
      </c>
    </row>
    <row r="187" spans="1:20" x14ac:dyDescent="0.3">
      <c r="A187" t="s">
        <v>225</v>
      </c>
      <c r="B187" t="s">
        <v>22</v>
      </c>
      <c r="C187" t="s">
        <v>41</v>
      </c>
      <c r="D187" t="s">
        <v>46</v>
      </c>
      <c r="E187" t="s">
        <v>34</v>
      </c>
      <c r="F187">
        <v>61</v>
      </c>
      <c r="G187">
        <v>14.7</v>
      </c>
      <c r="H187">
        <v>62</v>
      </c>
      <c r="I187">
        <v>15</v>
      </c>
      <c r="J187">
        <v>42</v>
      </c>
      <c r="K187">
        <v>4</v>
      </c>
      <c r="L187">
        <v>5578</v>
      </c>
      <c r="M187">
        <v>25120</v>
      </c>
      <c r="N187">
        <v>5</v>
      </c>
      <c r="O187">
        <v>2</v>
      </c>
      <c r="P187">
        <v>0.59</v>
      </c>
      <c r="Q187">
        <v>21086</v>
      </c>
      <c r="T187" t="str">
        <f t="shared" si="2"/>
        <v/>
      </c>
    </row>
    <row r="188" spans="1:20" x14ac:dyDescent="0.3">
      <c r="A188" t="s">
        <v>226</v>
      </c>
      <c r="B188" t="s">
        <v>28</v>
      </c>
      <c r="C188" t="s">
        <v>23</v>
      </c>
      <c r="D188" t="s">
        <v>46</v>
      </c>
      <c r="E188" t="s">
        <v>34</v>
      </c>
      <c r="F188">
        <v>56</v>
      </c>
      <c r="G188">
        <v>10.6</v>
      </c>
      <c r="H188">
        <v>80</v>
      </c>
      <c r="I188">
        <v>85</v>
      </c>
      <c r="J188">
        <v>10</v>
      </c>
      <c r="K188">
        <v>5</v>
      </c>
      <c r="L188">
        <v>8365</v>
      </c>
      <c r="M188">
        <v>38198</v>
      </c>
      <c r="N188">
        <v>4.2</v>
      </c>
      <c r="O188">
        <v>5</v>
      </c>
      <c r="P188">
        <v>0.57999999999999996</v>
      </c>
      <c r="Q188">
        <v>33920</v>
      </c>
      <c r="T188" t="str">
        <f t="shared" si="2"/>
        <v/>
      </c>
    </row>
    <row r="189" spans="1:20" x14ac:dyDescent="0.3">
      <c r="A189" t="s">
        <v>227</v>
      </c>
      <c r="B189" t="s">
        <v>22</v>
      </c>
      <c r="C189" t="s">
        <v>23</v>
      </c>
      <c r="D189" t="s">
        <v>33</v>
      </c>
      <c r="E189" t="s">
        <v>50</v>
      </c>
      <c r="F189">
        <v>48</v>
      </c>
      <c r="G189">
        <v>19.399999999999999</v>
      </c>
      <c r="H189">
        <v>74</v>
      </c>
      <c r="I189">
        <v>59</v>
      </c>
      <c r="J189">
        <v>29</v>
      </c>
      <c r="K189">
        <v>3</v>
      </c>
      <c r="L189">
        <v>9689</v>
      </c>
      <c r="M189">
        <v>31992</v>
      </c>
      <c r="N189">
        <v>4.5999999999999996</v>
      </c>
      <c r="O189">
        <v>2</v>
      </c>
      <c r="P189">
        <v>0.34</v>
      </c>
      <c r="Q189">
        <v>37879</v>
      </c>
      <c r="T189" t="str">
        <f t="shared" si="2"/>
        <v/>
      </c>
    </row>
    <row r="190" spans="1:20" x14ac:dyDescent="0.3">
      <c r="A190" t="s">
        <v>228</v>
      </c>
      <c r="B190" t="s">
        <v>22</v>
      </c>
      <c r="C190" t="s">
        <v>23</v>
      </c>
      <c r="D190" t="s">
        <v>33</v>
      </c>
      <c r="E190" t="s">
        <v>34</v>
      </c>
      <c r="F190">
        <v>28</v>
      </c>
      <c r="G190">
        <v>10.5</v>
      </c>
      <c r="H190">
        <v>50</v>
      </c>
      <c r="I190">
        <v>76</v>
      </c>
      <c r="J190">
        <v>17</v>
      </c>
      <c r="K190">
        <v>6</v>
      </c>
      <c r="L190">
        <v>5954</v>
      </c>
      <c r="M190">
        <v>40378</v>
      </c>
      <c r="N190">
        <v>4.5999999999999996</v>
      </c>
      <c r="O190">
        <v>3</v>
      </c>
      <c r="P190">
        <v>0.39</v>
      </c>
      <c r="Q190">
        <v>33530</v>
      </c>
      <c r="T190" t="str">
        <f t="shared" si="2"/>
        <v/>
      </c>
    </row>
    <row r="191" spans="1:20" x14ac:dyDescent="0.3">
      <c r="A191" t="s">
        <v>229</v>
      </c>
      <c r="B191" t="s">
        <v>40</v>
      </c>
      <c r="C191" t="s">
        <v>41</v>
      </c>
      <c r="D191" t="s">
        <v>24</v>
      </c>
      <c r="E191" t="s">
        <v>34</v>
      </c>
      <c r="F191">
        <v>40</v>
      </c>
      <c r="G191">
        <v>8.5</v>
      </c>
      <c r="H191">
        <v>58</v>
      </c>
      <c r="I191">
        <v>42</v>
      </c>
      <c r="J191">
        <v>29</v>
      </c>
      <c r="K191">
        <v>2</v>
      </c>
      <c r="L191">
        <v>2146</v>
      </c>
      <c r="M191">
        <v>4110</v>
      </c>
      <c r="N191">
        <v>4.2</v>
      </c>
      <c r="O191">
        <v>3</v>
      </c>
      <c r="P191">
        <v>0.14000000000000001</v>
      </c>
      <c r="Q191">
        <v>3472</v>
      </c>
      <c r="T191" t="str">
        <f t="shared" si="2"/>
        <v/>
      </c>
    </row>
    <row r="192" spans="1:20" x14ac:dyDescent="0.3">
      <c r="A192" t="s">
        <v>230</v>
      </c>
      <c r="B192" t="s">
        <v>22</v>
      </c>
      <c r="C192" t="s">
        <v>29</v>
      </c>
      <c r="D192" t="s">
        <v>46</v>
      </c>
      <c r="E192" t="s">
        <v>25</v>
      </c>
      <c r="F192">
        <v>31</v>
      </c>
      <c r="G192">
        <v>6.4</v>
      </c>
      <c r="H192">
        <v>37</v>
      </c>
      <c r="I192">
        <v>29</v>
      </c>
      <c r="J192">
        <v>33</v>
      </c>
      <c r="K192">
        <v>5</v>
      </c>
      <c r="L192">
        <v>2041</v>
      </c>
      <c r="M192">
        <v>10354</v>
      </c>
      <c r="N192">
        <v>3.8</v>
      </c>
      <c r="O192">
        <v>3</v>
      </c>
      <c r="P192">
        <v>0.36</v>
      </c>
      <c r="Q192">
        <v>5771</v>
      </c>
      <c r="T192" t="str">
        <f t="shared" si="2"/>
        <v/>
      </c>
    </row>
    <row r="193" spans="1:20" x14ac:dyDescent="0.3">
      <c r="A193" t="s">
        <v>231</v>
      </c>
      <c r="B193" t="s">
        <v>22</v>
      </c>
      <c r="C193" t="s">
        <v>23</v>
      </c>
      <c r="D193" t="s">
        <v>33</v>
      </c>
      <c r="E193" t="s">
        <v>25</v>
      </c>
      <c r="F193">
        <v>30</v>
      </c>
      <c r="G193">
        <v>7.8</v>
      </c>
      <c r="H193">
        <v>57</v>
      </c>
      <c r="I193">
        <v>88</v>
      </c>
      <c r="J193">
        <v>2</v>
      </c>
      <c r="K193">
        <v>3</v>
      </c>
      <c r="L193">
        <v>1670</v>
      </c>
      <c r="M193">
        <v>5488</v>
      </c>
      <c r="N193">
        <v>4</v>
      </c>
      <c r="O193">
        <v>4</v>
      </c>
      <c r="P193">
        <v>0.4</v>
      </c>
      <c r="Q193">
        <v>3655</v>
      </c>
      <c r="T193" t="str">
        <f t="shared" si="2"/>
        <v/>
      </c>
    </row>
    <row r="194" spans="1:20" x14ac:dyDescent="0.3">
      <c r="A194" t="s">
        <v>232</v>
      </c>
      <c r="B194" t="s">
        <v>22</v>
      </c>
      <c r="C194" t="s">
        <v>23</v>
      </c>
      <c r="D194" t="s">
        <v>33</v>
      </c>
      <c r="E194" t="s">
        <v>25</v>
      </c>
      <c r="F194">
        <v>44</v>
      </c>
      <c r="G194">
        <v>7.6</v>
      </c>
      <c r="H194">
        <v>61</v>
      </c>
      <c r="I194">
        <v>84</v>
      </c>
      <c r="J194">
        <v>8</v>
      </c>
      <c r="K194">
        <v>3</v>
      </c>
      <c r="L194">
        <v>1448</v>
      </c>
      <c r="M194">
        <v>4724</v>
      </c>
      <c r="N194">
        <v>4.0999999999999996</v>
      </c>
      <c r="O194">
        <v>3</v>
      </c>
      <c r="P194">
        <v>0.34</v>
      </c>
      <c r="Q194">
        <v>3146</v>
      </c>
      <c r="T194" t="str">
        <f t="shared" ref="T194:T241" si="3">IF(R194="Premium Loyalists","VIP access + premium bundle",IF(R194="Digital Deal Seekers","Limited-time online coupon",IF(R194="High Potential","Onboarding + cross-sell",IF(R194="At-Risk High Value","Win-back concierge call",IF(R194="Value Regulars","Subscribe &amp; save","") ))))</f>
        <v/>
      </c>
    </row>
    <row r="195" spans="1:20" x14ac:dyDescent="0.3">
      <c r="A195" t="s">
        <v>233</v>
      </c>
      <c r="B195" t="s">
        <v>40</v>
      </c>
      <c r="C195" t="s">
        <v>23</v>
      </c>
      <c r="D195" t="s">
        <v>37</v>
      </c>
      <c r="E195" t="s">
        <v>34</v>
      </c>
      <c r="F195">
        <v>47</v>
      </c>
      <c r="G195">
        <v>16.7</v>
      </c>
      <c r="H195">
        <v>68</v>
      </c>
      <c r="I195">
        <v>46</v>
      </c>
      <c r="J195">
        <v>65</v>
      </c>
      <c r="K195">
        <v>8</v>
      </c>
      <c r="L195">
        <v>8773</v>
      </c>
      <c r="M195">
        <v>76230</v>
      </c>
      <c r="N195">
        <v>2.5</v>
      </c>
      <c r="O195">
        <v>3</v>
      </c>
      <c r="P195">
        <v>0.22</v>
      </c>
      <c r="Q195">
        <v>62890</v>
      </c>
      <c r="T195" t="str">
        <f t="shared" si="3"/>
        <v/>
      </c>
    </row>
    <row r="196" spans="1:20" x14ac:dyDescent="0.3">
      <c r="A196" t="s">
        <v>234</v>
      </c>
      <c r="B196" t="s">
        <v>40</v>
      </c>
      <c r="C196" t="s">
        <v>32</v>
      </c>
      <c r="D196" t="s">
        <v>37</v>
      </c>
      <c r="E196" t="s">
        <v>25</v>
      </c>
      <c r="F196">
        <v>33</v>
      </c>
      <c r="G196">
        <v>6.2</v>
      </c>
      <c r="H196">
        <v>82</v>
      </c>
      <c r="I196">
        <v>74</v>
      </c>
      <c r="J196">
        <v>16</v>
      </c>
      <c r="K196">
        <v>9</v>
      </c>
      <c r="L196">
        <v>2945</v>
      </c>
      <c r="M196">
        <v>26641</v>
      </c>
      <c r="N196">
        <v>4.3</v>
      </c>
      <c r="O196">
        <v>4</v>
      </c>
      <c r="P196">
        <v>0.45</v>
      </c>
      <c r="Q196">
        <v>17743</v>
      </c>
      <c r="T196" t="str">
        <f t="shared" si="3"/>
        <v/>
      </c>
    </row>
    <row r="197" spans="1:20" x14ac:dyDescent="0.3">
      <c r="A197" t="s">
        <v>235</v>
      </c>
      <c r="B197" t="s">
        <v>22</v>
      </c>
      <c r="C197" t="s">
        <v>29</v>
      </c>
      <c r="D197" t="s">
        <v>46</v>
      </c>
      <c r="E197" t="s">
        <v>50</v>
      </c>
      <c r="F197">
        <v>30</v>
      </c>
      <c r="G197">
        <v>24.4</v>
      </c>
      <c r="H197">
        <v>42</v>
      </c>
      <c r="I197">
        <v>50</v>
      </c>
      <c r="J197">
        <v>59</v>
      </c>
      <c r="K197">
        <v>2</v>
      </c>
      <c r="L197">
        <v>14575</v>
      </c>
      <c r="M197">
        <v>28555</v>
      </c>
      <c r="N197">
        <v>3.3</v>
      </c>
      <c r="O197">
        <v>2</v>
      </c>
      <c r="P197">
        <v>0.27</v>
      </c>
      <c r="Q197">
        <v>27367</v>
      </c>
      <c r="T197" t="str">
        <f t="shared" si="3"/>
        <v/>
      </c>
    </row>
    <row r="198" spans="1:20" x14ac:dyDescent="0.3">
      <c r="A198" t="s">
        <v>236</v>
      </c>
      <c r="B198" t="s">
        <v>22</v>
      </c>
      <c r="C198" t="s">
        <v>29</v>
      </c>
      <c r="D198" t="s">
        <v>33</v>
      </c>
      <c r="E198" t="s">
        <v>25</v>
      </c>
      <c r="F198">
        <v>31</v>
      </c>
      <c r="G198">
        <v>6.1</v>
      </c>
      <c r="H198">
        <v>46</v>
      </c>
      <c r="I198">
        <v>49</v>
      </c>
      <c r="J198">
        <v>33</v>
      </c>
      <c r="K198">
        <v>4</v>
      </c>
      <c r="L198">
        <v>2374</v>
      </c>
      <c r="M198">
        <v>10567</v>
      </c>
      <c r="N198">
        <v>3.7</v>
      </c>
      <c r="O198">
        <v>5</v>
      </c>
      <c r="P198">
        <v>0.42</v>
      </c>
      <c r="Q198">
        <v>6210</v>
      </c>
      <c r="T198" t="str">
        <f t="shared" si="3"/>
        <v/>
      </c>
    </row>
    <row r="199" spans="1:20" x14ac:dyDescent="0.3">
      <c r="A199" t="s">
        <v>237</v>
      </c>
      <c r="B199" t="s">
        <v>44</v>
      </c>
      <c r="C199" t="s">
        <v>23</v>
      </c>
      <c r="D199" t="s">
        <v>37</v>
      </c>
      <c r="E199" t="s">
        <v>34</v>
      </c>
      <c r="F199">
        <v>42</v>
      </c>
      <c r="G199">
        <v>8.3000000000000007</v>
      </c>
      <c r="H199">
        <v>68</v>
      </c>
      <c r="I199">
        <v>68</v>
      </c>
      <c r="J199">
        <v>29</v>
      </c>
      <c r="K199">
        <v>6</v>
      </c>
      <c r="L199">
        <v>5081</v>
      </c>
      <c r="M199">
        <v>27995</v>
      </c>
      <c r="N199">
        <v>4.0999999999999996</v>
      </c>
      <c r="O199">
        <v>2</v>
      </c>
      <c r="P199">
        <v>0.31</v>
      </c>
      <c r="Q199">
        <v>24860</v>
      </c>
      <c r="T199" t="str">
        <f t="shared" si="3"/>
        <v/>
      </c>
    </row>
    <row r="200" spans="1:20" x14ac:dyDescent="0.3">
      <c r="A200" t="s">
        <v>238</v>
      </c>
      <c r="B200" t="s">
        <v>22</v>
      </c>
      <c r="C200" t="s">
        <v>29</v>
      </c>
      <c r="D200" t="s">
        <v>46</v>
      </c>
      <c r="E200" t="s">
        <v>34</v>
      </c>
      <c r="F200">
        <v>29</v>
      </c>
      <c r="G200">
        <v>12</v>
      </c>
      <c r="H200">
        <v>60</v>
      </c>
      <c r="I200">
        <v>44</v>
      </c>
      <c r="J200">
        <v>77</v>
      </c>
      <c r="K200">
        <v>5</v>
      </c>
      <c r="L200">
        <v>3521</v>
      </c>
      <c r="M200">
        <v>16355</v>
      </c>
      <c r="N200">
        <v>3.5</v>
      </c>
      <c r="O200">
        <v>3</v>
      </c>
      <c r="P200">
        <v>0.26</v>
      </c>
      <c r="Q200">
        <v>12551</v>
      </c>
      <c r="T200" t="str">
        <f t="shared" si="3"/>
        <v/>
      </c>
    </row>
    <row r="201" spans="1:20" x14ac:dyDescent="0.3">
      <c r="A201" t="s">
        <v>239</v>
      </c>
      <c r="B201" t="s">
        <v>40</v>
      </c>
      <c r="C201" t="s">
        <v>41</v>
      </c>
      <c r="D201" t="s">
        <v>24</v>
      </c>
      <c r="E201" t="s">
        <v>25</v>
      </c>
      <c r="F201">
        <v>27</v>
      </c>
      <c r="G201">
        <v>6.5</v>
      </c>
      <c r="H201">
        <v>62</v>
      </c>
      <c r="I201">
        <v>66</v>
      </c>
      <c r="J201">
        <v>33</v>
      </c>
      <c r="K201">
        <v>4</v>
      </c>
      <c r="L201">
        <v>2312</v>
      </c>
      <c r="M201">
        <v>10485</v>
      </c>
      <c r="N201">
        <v>4.9000000000000004</v>
      </c>
      <c r="O201">
        <v>4</v>
      </c>
      <c r="P201">
        <v>0.34</v>
      </c>
      <c r="Q201">
        <v>6728</v>
      </c>
      <c r="T201" t="str">
        <f t="shared" si="3"/>
        <v/>
      </c>
    </row>
    <row r="202" spans="1:20" x14ac:dyDescent="0.3">
      <c r="A202" t="s">
        <v>240</v>
      </c>
      <c r="B202" t="s">
        <v>40</v>
      </c>
      <c r="C202" t="s">
        <v>23</v>
      </c>
      <c r="D202" t="s">
        <v>37</v>
      </c>
      <c r="E202" t="s">
        <v>34</v>
      </c>
      <c r="F202">
        <v>35</v>
      </c>
      <c r="G202">
        <v>11.4</v>
      </c>
      <c r="H202">
        <v>71</v>
      </c>
      <c r="I202">
        <v>71</v>
      </c>
      <c r="J202">
        <v>10</v>
      </c>
      <c r="K202">
        <v>5</v>
      </c>
      <c r="L202">
        <v>6406</v>
      </c>
      <c r="M202">
        <v>32922</v>
      </c>
      <c r="N202">
        <v>4.0999999999999996</v>
      </c>
      <c r="O202">
        <v>3</v>
      </c>
      <c r="P202">
        <v>0.45</v>
      </c>
      <c r="Q202">
        <v>29235</v>
      </c>
      <c r="T202" t="str">
        <f t="shared" si="3"/>
        <v/>
      </c>
    </row>
    <row r="203" spans="1:20" x14ac:dyDescent="0.3">
      <c r="A203" t="s">
        <v>241</v>
      </c>
      <c r="B203" t="s">
        <v>22</v>
      </c>
      <c r="C203" t="s">
        <v>41</v>
      </c>
      <c r="D203" t="s">
        <v>24</v>
      </c>
      <c r="E203" t="s">
        <v>50</v>
      </c>
      <c r="F203">
        <v>46</v>
      </c>
      <c r="G203">
        <v>19.100000000000001</v>
      </c>
      <c r="H203">
        <v>49</v>
      </c>
      <c r="I203">
        <v>47</v>
      </c>
      <c r="J203">
        <v>47</v>
      </c>
      <c r="K203">
        <v>4</v>
      </c>
      <c r="L203">
        <v>14396</v>
      </c>
      <c r="M203">
        <v>57475</v>
      </c>
      <c r="N203">
        <v>4.2</v>
      </c>
      <c r="O203">
        <v>2</v>
      </c>
      <c r="P203">
        <v>0.41</v>
      </c>
      <c r="Q203">
        <v>59153</v>
      </c>
      <c r="T203" t="str">
        <f t="shared" si="3"/>
        <v/>
      </c>
    </row>
    <row r="204" spans="1:20" x14ac:dyDescent="0.3">
      <c r="A204" t="s">
        <v>242</v>
      </c>
      <c r="B204" t="s">
        <v>40</v>
      </c>
      <c r="C204" t="s">
        <v>41</v>
      </c>
      <c r="D204" t="s">
        <v>33</v>
      </c>
      <c r="E204" t="s">
        <v>25</v>
      </c>
      <c r="F204">
        <v>47</v>
      </c>
      <c r="G204">
        <v>7.1</v>
      </c>
      <c r="H204">
        <v>51</v>
      </c>
      <c r="I204">
        <v>14</v>
      </c>
      <c r="J204">
        <v>2</v>
      </c>
      <c r="K204">
        <v>4</v>
      </c>
      <c r="L204">
        <v>2272</v>
      </c>
      <c r="M204">
        <v>9979</v>
      </c>
      <c r="N204">
        <v>4.2</v>
      </c>
      <c r="O204">
        <v>2</v>
      </c>
      <c r="P204">
        <v>0.16</v>
      </c>
      <c r="Q204">
        <v>6451</v>
      </c>
      <c r="T204" t="str">
        <f t="shared" si="3"/>
        <v/>
      </c>
    </row>
    <row r="205" spans="1:20" x14ac:dyDescent="0.3">
      <c r="A205" t="s">
        <v>243</v>
      </c>
      <c r="B205" t="s">
        <v>22</v>
      </c>
      <c r="C205" t="s">
        <v>23</v>
      </c>
      <c r="D205" t="s">
        <v>24</v>
      </c>
      <c r="E205" t="s">
        <v>25</v>
      </c>
      <c r="F205">
        <v>33</v>
      </c>
      <c r="G205">
        <v>8.3000000000000007</v>
      </c>
      <c r="H205">
        <v>74</v>
      </c>
      <c r="I205">
        <v>66</v>
      </c>
      <c r="J205">
        <v>35</v>
      </c>
      <c r="K205">
        <v>6</v>
      </c>
      <c r="L205">
        <v>1906</v>
      </c>
      <c r="M205">
        <v>11508</v>
      </c>
      <c r="N205">
        <v>4.7</v>
      </c>
      <c r="O205">
        <v>4</v>
      </c>
      <c r="P205">
        <v>0.28999999999999998</v>
      </c>
      <c r="Q205">
        <v>7664</v>
      </c>
      <c r="T205" t="str">
        <f t="shared" si="3"/>
        <v/>
      </c>
    </row>
    <row r="206" spans="1:20" x14ac:dyDescent="0.3">
      <c r="A206" t="s">
        <v>244</v>
      </c>
      <c r="B206" t="s">
        <v>44</v>
      </c>
      <c r="C206" t="s">
        <v>29</v>
      </c>
      <c r="D206" t="s">
        <v>37</v>
      </c>
      <c r="E206" t="s">
        <v>34</v>
      </c>
      <c r="F206">
        <v>32</v>
      </c>
      <c r="G206">
        <v>6.9</v>
      </c>
      <c r="H206">
        <v>42</v>
      </c>
      <c r="I206">
        <v>70</v>
      </c>
      <c r="J206">
        <v>44</v>
      </c>
      <c r="K206">
        <v>1</v>
      </c>
      <c r="L206">
        <v>3337</v>
      </c>
      <c r="M206">
        <v>3803</v>
      </c>
      <c r="N206">
        <v>3</v>
      </c>
      <c r="O206">
        <v>2</v>
      </c>
      <c r="P206">
        <v>0.34</v>
      </c>
      <c r="Q206">
        <v>2836</v>
      </c>
      <c r="T206" t="str">
        <f t="shared" si="3"/>
        <v/>
      </c>
    </row>
    <row r="207" spans="1:20" x14ac:dyDescent="0.3">
      <c r="A207" t="s">
        <v>245</v>
      </c>
      <c r="B207" t="s">
        <v>40</v>
      </c>
      <c r="C207" t="s">
        <v>23</v>
      </c>
      <c r="D207" t="s">
        <v>33</v>
      </c>
      <c r="E207" t="s">
        <v>34</v>
      </c>
      <c r="F207">
        <v>46</v>
      </c>
      <c r="G207">
        <v>16.100000000000001</v>
      </c>
      <c r="H207">
        <v>77</v>
      </c>
      <c r="I207">
        <v>68</v>
      </c>
      <c r="J207">
        <v>26</v>
      </c>
      <c r="K207">
        <v>6</v>
      </c>
      <c r="L207">
        <v>5724</v>
      </c>
      <c r="M207">
        <v>34659</v>
      </c>
      <c r="N207">
        <v>5</v>
      </c>
      <c r="O207">
        <v>4</v>
      </c>
      <c r="P207">
        <v>0.56000000000000005</v>
      </c>
      <c r="Q207">
        <v>30777</v>
      </c>
      <c r="T207" t="str">
        <f t="shared" si="3"/>
        <v/>
      </c>
    </row>
    <row r="208" spans="1:20" x14ac:dyDescent="0.3">
      <c r="A208" t="s">
        <v>246</v>
      </c>
      <c r="B208" t="s">
        <v>22</v>
      </c>
      <c r="C208" t="s">
        <v>23</v>
      </c>
      <c r="D208" t="s">
        <v>24</v>
      </c>
      <c r="E208" t="s">
        <v>34</v>
      </c>
      <c r="F208">
        <v>36</v>
      </c>
      <c r="G208">
        <v>12</v>
      </c>
      <c r="H208">
        <v>77</v>
      </c>
      <c r="I208">
        <v>92</v>
      </c>
      <c r="J208">
        <v>7</v>
      </c>
      <c r="K208">
        <v>6</v>
      </c>
      <c r="L208">
        <v>6983</v>
      </c>
      <c r="M208">
        <v>38284</v>
      </c>
      <c r="N208">
        <v>4.2</v>
      </c>
      <c r="O208">
        <v>5</v>
      </c>
      <c r="P208">
        <v>0.43</v>
      </c>
      <c r="Q208">
        <v>33996</v>
      </c>
      <c r="T208" t="str">
        <f t="shared" si="3"/>
        <v/>
      </c>
    </row>
    <row r="209" spans="1:20" x14ac:dyDescent="0.3">
      <c r="A209" t="s">
        <v>247</v>
      </c>
      <c r="B209" t="s">
        <v>28</v>
      </c>
      <c r="C209" t="s">
        <v>29</v>
      </c>
      <c r="D209" t="s">
        <v>46</v>
      </c>
      <c r="E209" t="s">
        <v>34</v>
      </c>
      <c r="F209">
        <v>50</v>
      </c>
      <c r="G209">
        <v>15</v>
      </c>
      <c r="H209">
        <v>70</v>
      </c>
      <c r="I209">
        <v>21</v>
      </c>
      <c r="J209">
        <v>57</v>
      </c>
      <c r="K209">
        <v>4</v>
      </c>
      <c r="L209">
        <v>6700</v>
      </c>
      <c r="M209">
        <v>29059</v>
      </c>
      <c r="N209">
        <v>4</v>
      </c>
      <c r="O209">
        <v>3</v>
      </c>
      <c r="P209">
        <v>0.25</v>
      </c>
      <c r="Q209">
        <v>24654</v>
      </c>
      <c r="T209" t="str">
        <f t="shared" si="3"/>
        <v/>
      </c>
    </row>
    <row r="210" spans="1:20" x14ac:dyDescent="0.3">
      <c r="A210" t="s">
        <v>248</v>
      </c>
      <c r="B210" t="s">
        <v>22</v>
      </c>
      <c r="C210" t="s">
        <v>23</v>
      </c>
      <c r="D210" t="s">
        <v>24</v>
      </c>
      <c r="E210" t="s">
        <v>34</v>
      </c>
      <c r="F210">
        <v>34</v>
      </c>
      <c r="G210">
        <v>14.3</v>
      </c>
      <c r="H210">
        <v>67</v>
      </c>
      <c r="I210">
        <v>75</v>
      </c>
      <c r="J210">
        <v>2</v>
      </c>
      <c r="K210">
        <v>6</v>
      </c>
      <c r="L210">
        <v>3535</v>
      </c>
      <c r="M210">
        <v>22978</v>
      </c>
      <c r="N210">
        <v>4.2</v>
      </c>
      <c r="O210">
        <v>3</v>
      </c>
      <c r="P210">
        <v>0.41</v>
      </c>
      <c r="Q210">
        <v>20404</v>
      </c>
      <c r="T210" t="str">
        <f t="shared" si="3"/>
        <v/>
      </c>
    </row>
    <row r="211" spans="1:20" x14ac:dyDescent="0.3">
      <c r="A211" t="s">
        <v>249</v>
      </c>
      <c r="B211" t="s">
        <v>28</v>
      </c>
      <c r="C211" t="s">
        <v>29</v>
      </c>
      <c r="D211" t="s">
        <v>37</v>
      </c>
      <c r="E211" t="s">
        <v>25</v>
      </c>
      <c r="F211">
        <v>38</v>
      </c>
      <c r="G211">
        <v>6.8</v>
      </c>
      <c r="H211">
        <v>50</v>
      </c>
      <c r="I211">
        <v>63</v>
      </c>
      <c r="J211">
        <v>63</v>
      </c>
      <c r="K211">
        <v>3</v>
      </c>
      <c r="L211">
        <v>1396</v>
      </c>
      <c r="M211">
        <v>3620</v>
      </c>
      <c r="N211">
        <v>3.8</v>
      </c>
      <c r="O211">
        <v>3</v>
      </c>
      <c r="P211">
        <v>0.3</v>
      </c>
      <c r="Q211">
        <v>2030</v>
      </c>
      <c r="T211" t="str">
        <f t="shared" si="3"/>
        <v/>
      </c>
    </row>
    <row r="212" spans="1:20" x14ac:dyDescent="0.3">
      <c r="A212" t="s">
        <v>250</v>
      </c>
      <c r="B212" t="s">
        <v>44</v>
      </c>
      <c r="C212" t="s">
        <v>23</v>
      </c>
      <c r="D212" t="s">
        <v>37</v>
      </c>
      <c r="E212" t="s">
        <v>34</v>
      </c>
      <c r="F212">
        <v>61</v>
      </c>
      <c r="G212">
        <v>5.6</v>
      </c>
      <c r="H212">
        <v>71</v>
      </c>
      <c r="I212">
        <v>42</v>
      </c>
      <c r="J212">
        <v>47</v>
      </c>
      <c r="K212">
        <v>5</v>
      </c>
      <c r="L212">
        <v>4568</v>
      </c>
      <c r="M212">
        <v>19620</v>
      </c>
      <c r="N212">
        <v>3.7</v>
      </c>
      <c r="O212">
        <v>5</v>
      </c>
      <c r="P212">
        <v>0.63</v>
      </c>
      <c r="Q212">
        <v>17087</v>
      </c>
      <c r="T212" t="str">
        <f t="shared" si="3"/>
        <v/>
      </c>
    </row>
    <row r="213" spans="1:20" x14ac:dyDescent="0.3">
      <c r="A213" t="s">
        <v>251</v>
      </c>
      <c r="B213" t="s">
        <v>22</v>
      </c>
      <c r="C213" t="s">
        <v>23</v>
      </c>
      <c r="D213" t="s">
        <v>46</v>
      </c>
      <c r="E213" t="s">
        <v>34</v>
      </c>
      <c r="F213">
        <v>28</v>
      </c>
      <c r="G213">
        <v>13.8</v>
      </c>
      <c r="H213">
        <v>72</v>
      </c>
      <c r="I213">
        <v>49</v>
      </c>
      <c r="J213">
        <v>42</v>
      </c>
      <c r="K213">
        <v>2</v>
      </c>
      <c r="L213">
        <v>6316</v>
      </c>
      <c r="M213">
        <v>14502</v>
      </c>
      <c r="N213">
        <v>4.5999999999999996</v>
      </c>
      <c r="O213">
        <v>2</v>
      </c>
      <c r="P213">
        <v>0.28000000000000003</v>
      </c>
      <c r="Q213">
        <v>12826</v>
      </c>
      <c r="T213" t="str">
        <f t="shared" si="3"/>
        <v/>
      </c>
    </row>
    <row r="214" spans="1:20" x14ac:dyDescent="0.3">
      <c r="A214" t="s">
        <v>252</v>
      </c>
      <c r="B214" t="s">
        <v>44</v>
      </c>
      <c r="C214" t="s">
        <v>23</v>
      </c>
      <c r="D214" t="s">
        <v>46</v>
      </c>
      <c r="E214" t="s">
        <v>34</v>
      </c>
      <c r="F214">
        <v>43</v>
      </c>
      <c r="G214">
        <v>15</v>
      </c>
      <c r="H214">
        <v>65</v>
      </c>
      <c r="I214">
        <v>77</v>
      </c>
      <c r="J214">
        <v>2</v>
      </c>
      <c r="K214">
        <v>3</v>
      </c>
      <c r="L214">
        <v>6265</v>
      </c>
      <c r="M214">
        <v>17976</v>
      </c>
      <c r="N214">
        <v>3.3</v>
      </c>
      <c r="O214">
        <v>2</v>
      </c>
      <c r="P214">
        <v>0.26</v>
      </c>
      <c r="Q214">
        <v>15963</v>
      </c>
      <c r="T214" t="str">
        <f t="shared" si="3"/>
        <v/>
      </c>
    </row>
    <row r="215" spans="1:20" x14ac:dyDescent="0.3">
      <c r="A215" t="s">
        <v>253</v>
      </c>
      <c r="B215" t="s">
        <v>22</v>
      </c>
      <c r="C215" t="s">
        <v>23</v>
      </c>
      <c r="D215" t="s">
        <v>37</v>
      </c>
      <c r="E215" t="s">
        <v>25</v>
      </c>
      <c r="F215">
        <v>36</v>
      </c>
      <c r="G215">
        <v>8.5</v>
      </c>
      <c r="H215">
        <v>68</v>
      </c>
      <c r="I215">
        <v>68</v>
      </c>
      <c r="J215">
        <v>35</v>
      </c>
      <c r="K215">
        <v>4</v>
      </c>
      <c r="L215">
        <v>900</v>
      </c>
      <c r="M215">
        <v>3146</v>
      </c>
      <c r="N215">
        <v>4.5999999999999996</v>
      </c>
      <c r="O215">
        <v>4</v>
      </c>
      <c r="P215">
        <v>0.42</v>
      </c>
      <c r="Q215">
        <v>2074</v>
      </c>
      <c r="T215" t="str">
        <f t="shared" si="3"/>
        <v/>
      </c>
    </row>
    <row r="216" spans="1:20" x14ac:dyDescent="0.3">
      <c r="A216" t="s">
        <v>254</v>
      </c>
      <c r="B216" t="s">
        <v>40</v>
      </c>
      <c r="C216" t="s">
        <v>23</v>
      </c>
      <c r="D216" t="s">
        <v>37</v>
      </c>
      <c r="E216" t="s">
        <v>34</v>
      </c>
      <c r="F216">
        <v>28</v>
      </c>
      <c r="G216">
        <v>14</v>
      </c>
      <c r="H216">
        <v>72</v>
      </c>
      <c r="I216">
        <v>73</v>
      </c>
      <c r="J216">
        <v>2</v>
      </c>
      <c r="K216">
        <v>3</v>
      </c>
      <c r="L216">
        <v>4203</v>
      </c>
      <c r="M216">
        <v>14041</v>
      </c>
      <c r="N216">
        <v>4.4000000000000004</v>
      </c>
      <c r="O216">
        <v>2</v>
      </c>
      <c r="P216">
        <v>0.3</v>
      </c>
      <c r="Q216">
        <v>12468</v>
      </c>
      <c r="T216" t="str">
        <f t="shared" si="3"/>
        <v/>
      </c>
    </row>
    <row r="217" spans="1:20" x14ac:dyDescent="0.3">
      <c r="A217" t="s">
        <v>255</v>
      </c>
      <c r="B217" t="s">
        <v>40</v>
      </c>
      <c r="C217" t="s">
        <v>23</v>
      </c>
      <c r="D217" t="s">
        <v>37</v>
      </c>
      <c r="E217" t="s">
        <v>34</v>
      </c>
      <c r="F217">
        <v>49</v>
      </c>
      <c r="G217">
        <v>9.9</v>
      </c>
      <c r="H217">
        <v>73</v>
      </c>
      <c r="I217">
        <v>77</v>
      </c>
      <c r="J217">
        <v>2</v>
      </c>
      <c r="K217">
        <v>6</v>
      </c>
      <c r="L217">
        <v>8250</v>
      </c>
      <c r="M217">
        <v>48180</v>
      </c>
      <c r="N217">
        <v>3.4</v>
      </c>
      <c r="O217">
        <v>4</v>
      </c>
      <c r="P217">
        <v>0.42</v>
      </c>
      <c r="Q217">
        <v>42784</v>
      </c>
      <c r="T217" t="str">
        <f t="shared" si="3"/>
        <v/>
      </c>
    </row>
    <row r="218" spans="1:20" x14ac:dyDescent="0.3">
      <c r="A218" t="s">
        <v>256</v>
      </c>
      <c r="B218" t="s">
        <v>44</v>
      </c>
      <c r="C218" t="s">
        <v>32</v>
      </c>
      <c r="D218" t="s">
        <v>37</v>
      </c>
      <c r="E218" t="s">
        <v>25</v>
      </c>
      <c r="F218">
        <v>29</v>
      </c>
      <c r="G218">
        <v>6.8</v>
      </c>
      <c r="H218">
        <v>66</v>
      </c>
      <c r="I218">
        <v>42</v>
      </c>
      <c r="J218">
        <v>55</v>
      </c>
      <c r="K218">
        <v>5</v>
      </c>
      <c r="L218">
        <v>955</v>
      </c>
      <c r="M218">
        <v>4565</v>
      </c>
      <c r="N218">
        <v>4.4000000000000004</v>
      </c>
      <c r="O218">
        <v>4</v>
      </c>
      <c r="P218">
        <v>0.41</v>
      </c>
      <c r="Q218">
        <v>2855</v>
      </c>
      <c r="T218" t="str">
        <f t="shared" si="3"/>
        <v/>
      </c>
    </row>
    <row r="219" spans="1:20" x14ac:dyDescent="0.3">
      <c r="A219" t="s">
        <v>257</v>
      </c>
      <c r="B219" t="s">
        <v>22</v>
      </c>
      <c r="C219" t="s">
        <v>23</v>
      </c>
      <c r="D219" t="s">
        <v>37</v>
      </c>
      <c r="E219" t="s">
        <v>34</v>
      </c>
      <c r="F219">
        <v>43</v>
      </c>
      <c r="G219">
        <v>9.6</v>
      </c>
      <c r="H219">
        <v>51</v>
      </c>
      <c r="I219">
        <v>64</v>
      </c>
      <c r="J219">
        <v>49</v>
      </c>
      <c r="K219">
        <v>6</v>
      </c>
      <c r="L219">
        <v>5950</v>
      </c>
      <c r="M219">
        <v>32566</v>
      </c>
      <c r="N219">
        <v>4.3</v>
      </c>
      <c r="O219">
        <v>1</v>
      </c>
      <c r="P219">
        <v>0.05</v>
      </c>
      <c r="Q219">
        <v>25314</v>
      </c>
      <c r="T219" t="str">
        <f t="shared" si="3"/>
        <v/>
      </c>
    </row>
    <row r="220" spans="1:20" x14ac:dyDescent="0.3">
      <c r="A220" t="s">
        <v>258</v>
      </c>
      <c r="B220" t="s">
        <v>28</v>
      </c>
      <c r="C220" t="s">
        <v>23</v>
      </c>
      <c r="D220" t="s">
        <v>33</v>
      </c>
      <c r="E220" t="s">
        <v>25</v>
      </c>
      <c r="F220">
        <v>41</v>
      </c>
      <c r="G220">
        <v>6.4</v>
      </c>
      <c r="H220">
        <v>75</v>
      </c>
      <c r="I220">
        <v>63</v>
      </c>
      <c r="J220">
        <v>4</v>
      </c>
      <c r="K220">
        <v>7</v>
      </c>
      <c r="L220">
        <v>2165</v>
      </c>
      <c r="M220">
        <v>15569</v>
      </c>
      <c r="N220">
        <v>4.9000000000000004</v>
      </c>
      <c r="O220">
        <v>5</v>
      </c>
      <c r="P220">
        <v>0.42</v>
      </c>
      <c r="Q220">
        <v>10369</v>
      </c>
      <c r="T220" t="str">
        <f t="shared" si="3"/>
        <v/>
      </c>
    </row>
    <row r="221" spans="1:20" x14ac:dyDescent="0.3">
      <c r="A221" t="s">
        <v>259</v>
      </c>
      <c r="B221" t="s">
        <v>28</v>
      </c>
      <c r="C221" t="s">
        <v>32</v>
      </c>
      <c r="D221" t="s">
        <v>33</v>
      </c>
      <c r="E221" t="s">
        <v>34</v>
      </c>
      <c r="F221">
        <v>40</v>
      </c>
      <c r="G221">
        <v>11.3</v>
      </c>
      <c r="H221">
        <v>50</v>
      </c>
      <c r="I221">
        <v>65</v>
      </c>
      <c r="J221">
        <v>24</v>
      </c>
      <c r="K221">
        <v>6</v>
      </c>
      <c r="L221">
        <v>9537</v>
      </c>
      <c r="M221">
        <v>62825</v>
      </c>
      <c r="N221">
        <v>3.9</v>
      </c>
      <c r="O221">
        <v>3</v>
      </c>
      <c r="P221">
        <v>0.42</v>
      </c>
      <c r="Q221">
        <v>51378</v>
      </c>
      <c r="T221" t="str">
        <f t="shared" si="3"/>
        <v/>
      </c>
    </row>
    <row r="222" spans="1:20" x14ac:dyDescent="0.3">
      <c r="A222" t="s">
        <v>260</v>
      </c>
      <c r="B222" t="s">
        <v>40</v>
      </c>
      <c r="C222" t="s">
        <v>29</v>
      </c>
      <c r="D222" t="s">
        <v>24</v>
      </c>
      <c r="E222" t="s">
        <v>34</v>
      </c>
      <c r="F222">
        <v>38</v>
      </c>
      <c r="G222">
        <v>12.3</v>
      </c>
      <c r="H222">
        <v>58</v>
      </c>
      <c r="I222">
        <v>79</v>
      </c>
      <c r="J222">
        <v>50</v>
      </c>
      <c r="K222">
        <v>2</v>
      </c>
      <c r="L222">
        <v>5098</v>
      </c>
      <c r="M222">
        <v>10266</v>
      </c>
      <c r="N222">
        <v>4.3</v>
      </c>
      <c r="O222">
        <v>2</v>
      </c>
      <c r="P222">
        <v>0.17</v>
      </c>
      <c r="Q222">
        <v>8285</v>
      </c>
      <c r="T222" t="str">
        <f t="shared" si="3"/>
        <v/>
      </c>
    </row>
    <row r="223" spans="1:20" x14ac:dyDescent="0.3">
      <c r="A223" t="s">
        <v>261</v>
      </c>
      <c r="B223" t="s">
        <v>44</v>
      </c>
      <c r="C223" t="s">
        <v>23</v>
      </c>
      <c r="D223" t="s">
        <v>33</v>
      </c>
      <c r="E223" t="s">
        <v>34</v>
      </c>
      <c r="F223">
        <v>44</v>
      </c>
      <c r="G223">
        <v>12</v>
      </c>
      <c r="H223">
        <v>76</v>
      </c>
      <c r="I223">
        <v>69</v>
      </c>
      <c r="J223">
        <v>55</v>
      </c>
      <c r="K223">
        <v>6</v>
      </c>
      <c r="L223">
        <v>3720</v>
      </c>
      <c r="M223">
        <v>19194</v>
      </c>
      <c r="N223">
        <v>5</v>
      </c>
      <c r="O223">
        <v>3</v>
      </c>
      <c r="P223">
        <v>0.44</v>
      </c>
      <c r="Q223">
        <v>16872</v>
      </c>
      <c r="T223" t="str">
        <f t="shared" si="3"/>
        <v/>
      </c>
    </row>
    <row r="224" spans="1:20" x14ac:dyDescent="0.3">
      <c r="A224" t="s">
        <v>262</v>
      </c>
      <c r="B224" t="s">
        <v>40</v>
      </c>
      <c r="C224" t="s">
        <v>23</v>
      </c>
      <c r="D224" t="s">
        <v>24</v>
      </c>
      <c r="E224" t="s">
        <v>34</v>
      </c>
      <c r="F224">
        <v>36</v>
      </c>
      <c r="G224">
        <v>13.5</v>
      </c>
      <c r="H224">
        <v>89</v>
      </c>
      <c r="I224">
        <v>76</v>
      </c>
      <c r="J224">
        <v>31</v>
      </c>
      <c r="K224">
        <v>3</v>
      </c>
      <c r="L224">
        <v>900</v>
      </c>
      <c r="M224">
        <v>2919</v>
      </c>
      <c r="N224">
        <v>4.5</v>
      </c>
      <c r="O224">
        <v>2</v>
      </c>
      <c r="P224">
        <v>0.24</v>
      </c>
      <c r="Q224">
        <v>2592</v>
      </c>
      <c r="T224" t="str">
        <f t="shared" si="3"/>
        <v/>
      </c>
    </row>
    <row r="225" spans="1:20" x14ac:dyDescent="0.3">
      <c r="A225" t="s">
        <v>263</v>
      </c>
      <c r="B225" t="s">
        <v>40</v>
      </c>
      <c r="C225" t="s">
        <v>41</v>
      </c>
      <c r="D225" t="s">
        <v>33</v>
      </c>
      <c r="E225" t="s">
        <v>34</v>
      </c>
      <c r="F225">
        <v>42</v>
      </c>
      <c r="G225">
        <v>7.7</v>
      </c>
      <c r="H225">
        <v>48</v>
      </c>
      <c r="I225">
        <v>40</v>
      </c>
      <c r="J225">
        <v>60</v>
      </c>
      <c r="K225">
        <v>4</v>
      </c>
      <c r="L225">
        <v>3725</v>
      </c>
      <c r="M225">
        <v>16044</v>
      </c>
      <c r="N225">
        <v>4.5</v>
      </c>
      <c r="O225">
        <v>3</v>
      </c>
      <c r="P225">
        <v>0.44</v>
      </c>
      <c r="Q225">
        <v>11937</v>
      </c>
      <c r="T225" t="str">
        <f t="shared" si="3"/>
        <v/>
      </c>
    </row>
    <row r="226" spans="1:20" x14ac:dyDescent="0.3">
      <c r="A226" t="s">
        <v>264</v>
      </c>
      <c r="B226" t="s">
        <v>40</v>
      </c>
      <c r="C226" t="s">
        <v>32</v>
      </c>
      <c r="D226" t="s">
        <v>37</v>
      </c>
      <c r="E226" t="s">
        <v>25</v>
      </c>
      <c r="F226">
        <v>29</v>
      </c>
      <c r="G226">
        <v>7.5</v>
      </c>
      <c r="H226">
        <v>81</v>
      </c>
      <c r="I226">
        <v>67</v>
      </c>
      <c r="J226">
        <v>3</v>
      </c>
      <c r="K226">
        <v>7</v>
      </c>
      <c r="L226">
        <v>2171</v>
      </c>
      <c r="M226">
        <v>16328</v>
      </c>
      <c r="N226">
        <v>4.4000000000000004</v>
      </c>
      <c r="O226">
        <v>5</v>
      </c>
      <c r="P226">
        <v>0.41</v>
      </c>
      <c r="Q226">
        <v>10874</v>
      </c>
      <c r="T226" t="str">
        <f t="shared" si="3"/>
        <v/>
      </c>
    </row>
    <row r="227" spans="1:20" x14ac:dyDescent="0.3">
      <c r="A227" t="s">
        <v>265</v>
      </c>
      <c r="B227" t="s">
        <v>28</v>
      </c>
      <c r="C227" t="s">
        <v>41</v>
      </c>
      <c r="D227" t="s">
        <v>37</v>
      </c>
      <c r="E227" t="s">
        <v>34</v>
      </c>
      <c r="F227">
        <v>31</v>
      </c>
      <c r="G227">
        <v>14.4</v>
      </c>
      <c r="H227">
        <v>60</v>
      </c>
      <c r="I227">
        <v>57</v>
      </c>
      <c r="J227">
        <v>61</v>
      </c>
      <c r="K227">
        <v>5</v>
      </c>
      <c r="L227">
        <v>5768</v>
      </c>
      <c r="M227">
        <v>29295</v>
      </c>
      <c r="N227">
        <v>4.3</v>
      </c>
      <c r="O227">
        <v>2</v>
      </c>
      <c r="P227">
        <v>0.27</v>
      </c>
      <c r="Q227">
        <v>23325</v>
      </c>
      <c r="T227" t="str">
        <f t="shared" si="3"/>
        <v/>
      </c>
    </row>
    <row r="228" spans="1:20" x14ac:dyDescent="0.3">
      <c r="A228" t="s">
        <v>266</v>
      </c>
      <c r="B228" t="s">
        <v>22</v>
      </c>
      <c r="C228" t="s">
        <v>29</v>
      </c>
      <c r="D228" t="s">
        <v>37</v>
      </c>
      <c r="E228" t="s">
        <v>34</v>
      </c>
      <c r="F228">
        <v>44</v>
      </c>
      <c r="G228">
        <v>10.9</v>
      </c>
      <c r="H228">
        <v>44</v>
      </c>
      <c r="I228">
        <v>58</v>
      </c>
      <c r="J228">
        <v>88</v>
      </c>
      <c r="K228">
        <v>3</v>
      </c>
      <c r="L228">
        <v>4842</v>
      </c>
      <c r="M228">
        <v>14242</v>
      </c>
      <c r="N228">
        <v>4.5999999999999996</v>
      </c>
      <c r="O228">
        <v>4</v>
      </c>
      <c r="P228">
        <v>0.32</v>
      </c>
      <c r="Q228">
        <v>9622</v>
      </c>
      <c r="T228" t="str">
        <f t="shared" si="3"/>
        <v/>
      </c>
    </row>
    <row r="229" spans="1:20" x14ac:dyDescent="0.3">
      <c r="A229" t="s">
        <v>267</v>
      </c>
      <c r="B229" t="s">
        <v>28</v>
      </c>
      <c r="C229" t="s">
        <v>29</v>
      </c>
      <c r="D229" t="s">
        <v>37</v>
      </c>
      <c r="E229" t="s">
        <v>25</v>
      </c>
      <c r="F229">
        <v>18</v>
      </c>
      <c r="G229">
        <v>7.4</v>
      </c>
      <c r="H229">
        <v>60</v>
      </c>
      <c r="I229">
        <v>64</v>
      </c>
      <c r="J229">
        <v>13</v>
      </c>
      <c r="K229">
        <v>4</v>
      </c>
      <c r="L229">
        <v>1689</v>
      </c>
      <c r="M229">
        <v>6829</v>
      </c>
      <c r="N229">
        <v>3.4</v>
      </c>
      <c r="O229">
        <v>5</v>
      </c>
      <c r="P229">
        <v>0.42</v>
      </c>
      <c r="Q229">
        <v>4520</v>
      </c>
      <c r="T229" t="str">
        <f t="shared" si="3"/>
        <v/>
      </c>
    </row>
    <row r="230" spans="1:20" x14ac:dyDescent="0.3">
      <c r="A230" t="s">
        <v>268</v>
      </c>
      <c r="B230" t="s">
        <v>28</v>
      </c>
      <c r="C230" t="s">
        <v>41</v>
      </c>
      <c r="D230" t="s">
        <v>33</v>
      </c>
      <c r="E230" t="s">
        <v>50</v>
      </c>
      <c r="F230">
        <v>57</v>
      </c>
      <c r="G230">
        <v>19.8</v>
      </c>
      <c r="H230">
        <v>40</v>
      </c>
      <c r="I230">
        <v>40</v>
      </c>
      <c r="J230">
        <v>83</v>
      </c>
      <c r="K230">
        <v>4</v>
      </c>
      <c r="L230">
        <v>15072</v>
      </c>
      <c r="M230">
        <v>51843</v>
      </c>
      <c r="N230">
        <v>2.7</v>
      </c>
      <c r="O230">
        <v>1</v>
      </c>
      <c r="P230">
        <v>0.34</v>
      </c>
      <c r="Q230">
        <v>46078</v>
      </c>
      <c r="T230" t="str">
        <f t="shared" si="3"/>
        <v/>
      </c>
    </row>
    <row r="231" spans="1:20" x14ac:dyDescent="0.3">
      <c r="A231" t="s">
        <v>269</v>
      </c>
      <c r="B231" t="s">
        <v>22</v>
      </c>
      <c r="C231" t="s">
        <v>29</v>
      </c>
      <c r="D231" t="s">
        <v>37</v>
      </c>
      <c r="E231" t="s">
        <v>34</v>
      </c>
      <c r="F231">
        <v>43</v>
      </c>
      <c r="G231">
        <v>10.3</v>
      </c>
      <c r="H231">
        <v>61</v>
      </c>
      <c r="I231">
        <v>73</v>
      </c>
      <c r="J231">
        <v>42</v>
      </c>
      <c r="K231">
        <v>4</v>
      </c>
      <c r="L231">
        <v>4685</v>
      </c>
      <c r="M231">
        <v>19468</v>
      </c>
      <c r="N231">
        <v>5</v>
      </c>
      <c r="O231">
        <v>3</v>
      </c>
      <c r="P231">
        <v>0.36</v>
      </c>
      <c r="Q231">
        <v>16254</v>
      </c>
      <c r="T231" t="str">
        <f t="shared" si="3"/>
        <v/>
      </c>
    </row>
    <row r="232" spans="1:20" x14ac:dyDescent="0.3">
      <c r="A232" t="s">
        <v>270</v>
      </c>
      <c r="B232" t="s">
        <v>40</v>
      </c>
      <c r="C232" t="s">
        <v>41</v>
      </c>
      <c r="D232" t="s">
        <v>24</v>
      </c>
      <c r="E232" t="s">
        <v>50</v>
      </c>
      <c r="F232">
        <v>48</v>
      </c>
      <c r="G232">
        <v>22.9</v>
      </c>
      <c r="H232">
        <v>54</v>
      </c>
      <c r="I232">
        <v>59</v>
      </c>
      <c r="J232">
        <v>24</v>
      </c>
      <c r="K232">
        <v>5</v>
      </c>
      <c r="L232">
        <v>12744</v>
      </c>
      <c r="M232">
        <v>54796</v>
      </c>
      <c r="N232">
        <v>4.0999999999999996</v>
      </c>
      <c r="O232">
        <v>3</v>
      </c>
      <c r="P232">
        <v>0.42</v>
      </c>
      <c r="Q232">
        <v>61065</v>
      </c>
      <c r="T232" t="str">
        <f t="shared" si="3"/>
        <v/>
      </c>
    </row>
    <row r="233" spans="1:20" x14ac:dyDescent="0.3">
      <c r="A233" t="s">
        <v>271</v>
      </c>
      <c r="B233" t="s">
        <v>22</v>
      </c>
      <c r="C233" t="s">
        <v>23</v>
      </c>
      <c r="D233" t="s">
        <v>33</v>
      </c>
      <c r="E233" t="s">
        <v>25</v>
      </c>
      <c r="F233">
        <v>27</v>
      </c>
      <c r="G233">
        <v>5.3</v>
      </c>
      <c r="H233">
        <v>63</v>
      </c>
      <c r="I233">
        <v>59</v>
      </c>
      <c r="J233">
        <v>38</v>
      </c>
      <c r="K233">
        <v>3</v>
      </c>
      <c r="L233">
        <v>3295</v>
      </c>
      <c r="M233">
        <v>9178</v>
      </c>
      <c r="N233">
        <v>4</v>
      </c>
      <c r="O233">
        <v>4</v>
      </c>
      <c r="P233">
        <v>0.6</v>
      </c>
      <c r="Q233">
        <v>5859</v>
      </c>
      <c r="T233" t="str">
        <f t="shared" si="3"/>
        <v/>
      </c>
    </row>
    <row r="234" spans="1:20" x14ac:dyDescent="0.3">
      <c r="A234" t="s">
        <v>272</v>
      </c>
      <c r="B234" t="s">
        <v>40</v>
      </c>
      <c r="C234" t="s">
        <v>41</v>
      </c>
      <c r="D234" t="s">
        <v>33</v>
      </c>
      <c r="E234" t="s">
        <v>34</v>
      </c>
      <c r="F234">
        <v>40</v>
      </c>
      <c r="G234">
        <v>14.8</v>
      </c>
      <c r="H234">
        <v>54</v>
      </c>
      <c r="I234">
        <v>52</v>
      </c>
      <c r="J234">
        <v>2</v>
      </c>
      <c r="K234">
        <v>5</v>
      </c>
      <c r="L234">
        <v>4151</v>
      </c>
      <c r="M234">
        <v>18461</v>
      </c>
      <c r="N234">
        <v>4.0999999999999996</v>
      </c>
      <c r="O234">
        <v>2</v>
      </c>
      <c r="P234">
        <v>0.48</v>
      </c>
      <c r="Q234">
        <v>16161</v>
      </c>
      <c r="T234" t="str">
        <f t="shared" si="3"/>
        <v/>
      </c>
    </row>
    <row r="235" spans="1:20" x14ac:dyDescent="0.3">
      <c r="A235" t="s">
        <v>273</v>
      </c>
      <c r="B235" t="s">
        <v>44</v>
      </c>
      <c r="C235" t="s">
        <v>23</v>
      </c>
      <c r="D235" t="s">
        <v>33</v>
      </c>
      <c r="E235" t="s">
        <v>25</v>
      </c>
      <c r="F235">
        <v>34</v>
      </c>
      <c r="G235">
        <v>5.4</v>
      </c>
      <c r="H235">
        <v>56</v>
      </c>
      <c r="I235">
        <v>89</v>
      </c>
      <c r="J235">
        <v>25</v>
      </c>
      <c r="K235">
        <v>3</v>
      </c>
      <c r="L235">
        <v>1800</v>
      </c>
      <c r="M235">
        <v>5820</v>
      </c>
      <c r="N235">
        <v>5</v>
      </c>
      <c r="O235">
        <v>4</v>
      </c>
      <c r="P235">
        <v>0.42</v>
      </c>
      <c r="Q235">
        <v>3680</v>
      </c>
      <c r="T235" t="str">
        <f t="shared" si="3"/>
        <v/>
      </c>
    </row>
    <row r="236" spans="1:20" x14ac:dyDescent="0.3">
      <c r="A236" t="s">
        <v>274</v>
      </c>
      <c r="B236" t="s">
        <v>40</v>
      </c>
      <c r="C236" t="s">
        <v>23</v>
      </c>
      <c r="D236" t="s">
        <v>33</v>
      </c>
      <c r="E236" t="s">
        <v>34</v>
      </c>
      <c r="F236">
        <v>23</v>
      </c>
      <c r="G236">
        <v>12</v>
      </c>
      <c r="H236">
        <v>63</v>
      </c>
      <c r="I236">
        <v>75</v>
      </c>
      <c r="J236">
        <v>49</v>
      </c>
      <c r="K236">
        <v>5</v>
      </c>
      <c r="L236">
        <v>4689</v>
      </c>
      <c r="M236">
        <v>24066</v>
      </c>
      <c r="N236">
        <v>4.4000000000000004</v>
      </c>
      <c r="O236">
        <v>3</v>
      </c>
      <c r="P236">
        <v>0.24</v>
      </c>
      <c r="Q236">
        <v>20006</v>
      </c>
      <c r="T236" t="str">
        <f t="shared" si="3"/>
        <v/>
      </c>
    </row>
    <row r="237" spans="1:20" x14ac:dyDescent="0.3">
      <c r="A237" t="s">
        <v>275</v>
      </c>
      <c r="B237" t="s">
        <v>22</v>
      </c>
      <c r="C237" t="s">
        <v>29</v>
      </c>
      <c r="D237" t="s">
        <v>33</v>
      </c>
      <c r="E237" t="s">
        <v>25</v>
      </c>
      <c r="F237">
        <v>34</v>
      </c>
      <c r="G237">
        <v>5.0999999999999996</v>
      </c>
      <c r="H237">
        <v>70</v>
      </c>
      <c r="I237">
        <v>30</v>
      </c>
      <c r="J237">
        <v>52</v>
      </c>
      <c r="K237">
        <v>3</v>
      </c>
      <c r="L237">
        <v>986</v>
      </c>
      <c r="M237">
        <v>3065</v>
      </c>
      <c r="N237">
        <v>5</v>
      </c>
      <c r="O237">
        <v>2</v>
      </c>
      <c r="P237">
        <v>0.37</v>
      </c>
      <c r="Q237">
        <v>1971</v>
      </c>
      <c r="T237" t="str">
        <f t="shared" si="3"/>
        <v/>
      </c>
    </row>
    <row r="238" spans="1:20" x14ac:dyDescent="0.3">
      <c r="A238" t="s">
        <v>276</v>
      </c>
      <c r="B238" t="s">
        <v>44</v>
      </c>
      <c r="C238" t="s">
        <v>23</v>
      </c>
      <c r="D238" t="s">
        <v>24</v>
      </c>
      <c r="E238" t="s">
        <v>34</v>
      </c>
      <c r="F238">
        <v>25</v>
      </c>
      <c r="G238">
        <v>9.8000000000000007</v>
      </c>
      <c r="H238">
        <v>62</v>
      </c>
      <c r="I238">
        <v>98</v>
      </c>
      <c r="J238">
        <v>18</v>
      </c>
      <c r="K238">
        <v>5</v>
      </c>
      <c r="L238">
        <v>7558</v>
      </c>
      <c r="M238">
        <v>37160</v>
      </c>
      <c r="N238">
        <v>4.5</v>
      </c>
      <c r="O238">
        <v>2</v>
      </c>
      <c r="P238">
        <v>0.15</v>
      </c>
      <c r="Q238">
        <v>32797</v>
      </c>
      <c r="T238" t="str">
        <f t="shared" si="3"/>
        <v/>
      </c>
    </row>
    <row r="239" spans="1:20" x14ac:dyDescent="0.3">
      <c r="A239" t="s">
        <v>277</v>
      </c>
      <c r="B239" t="s">
        <v>40</v>
      </c>
      <c r="C239" t="s">
        <v>23</v>
      </c>
      <c r="D239" t="s">
        <v>37</v>
      </c>
      <c r="E239" t="s">
        <v>34</v>
      </c>
      <c r="F239">
        <v>40</v>
      </c>
      <c r="G239">
        <v>13.4</v>
      </c>
      <c r="H239">
        <v>61</v>
      </c>
      <c r="I239">
        <v>63</v>
      </c>
      <c r="J239">
        <v>8</v>
      </c>
      <c r="K239">
        <v>4</v>
      </c>
      <c r="L239">
        <v>4382</v>
      </c>
      <c r="M239">
        <v>17920</v>
      </c>
      <c r="N239">
        <v>4.5</v>
      </c>
      <c r="O239">
        <v>2</v>
      </c>
      <c r="P239">
        <v>0.1</v>
      </c>
      <c r="Q239">
        <v>15913</v>
      </c>
      <c r="T239" t="str">
        <f t="shared" si="3"/>
        <v/>
      </c>
    </row>
    <row r="240" spans="1:20" x14ac:dyDescent="0.3">
      <c r="A240" t="s">
        <v>278</v>
      </c>
      <c r="B240" t="s">
        <v>22</v>
      </c>
      <c r="C240" t="s">
        <v>41</v>
      </c>
      <c r="D240" t="s">
        <v>46</v>
      </c>
      <c r="E240" t="s">
        <v>34</v>
      </c>
      <c r="F240">
        <v>25</v>
      </c>
      <c r="G240">
        <v>7.3</v>
      </c>
      <c r="H240">
        <v>42</v>
      </c>
      <c r="I240">
        <v>62</v>
      </c>
      <c r="J240">
        <v>21</v>
      </c>
      <c r="K240">
        <v>6</v>
      </c>
      <c r="L240">
        <v>3392</v>
      </c>
      <c r="M240">
        <v>22471</v>
      </c>
      <c r="N240">
        <v>4.4000000000000004</v>
      </c>
      <c r="O240">
        <v>4</v>
      </c>
      <c r="P240">
        <v>0.28999999999999998</v>
      </c>
      <c r="Q240">
        <v>17689</v>
      </c>
      <c r="T240" t="str">
        <f t="shared" si="3"/>
        <v/>
      </c>
    </row>
    <row r="241" spans="1:20" x14ac:dyDescent="0.3">
      <c r="A241" t="s">
        <v>279</v>
      </c>
      <c r="B241" t="s">
        <v>40</v>
      </c>
      <c r="C241" t="s">
        <v>23</v>
      </c>
      <c r="D241" t="s">
        <v>33</v>
      </c>
      <c r="E241" t="s">
        <v>25</v>
      </c>
      <c r="F241">
        <v>37</v>
      </c>
      <c r="G241">
        <v>8.1999999999999993</v>
      </c>
      <c r="H241">
        <v>65</v>
      </c>
      <c r="I241">
        <v>80</v>
      </c>
      <c r="J241">
        <v>33</v>
      </c>
      <c r="K241">
        <v>5</v>
      </c>
      <c r="L241">
        <v>2062</v>
      </c>
      <c r="M241">
        <v>11622</v>
      </c>
      <c r="N241">
        <v>4.0999999999999996</v>
      </c>
      <c r="O241">
        <v>3</v>
      </c>
      <c r="P241">
        <v>0.33</v>
      </c>
      <c r="Q241">
        <v>7576</v>
      </c>
      <c r="T241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BC27-FA5C-487F-A8DC-F141AB2B5E0D}">
  <dimension ref="A1:K242"/>
  <sheetViews>
    <sheetView workbookViewId="0">
      <selection activeCell="K2" sqref="K2"/>
    </sheetView>
  </sheetViews>
  <sheetFormatPr defaultRowHeight="14.4" x14ac:dyDescent="0.3"/>
  <cols>
    <col min="1" max="1" width="12" customWidth="1"/>
    <col min="2" max="3" width="18" customWidth="1"/>
    <col min="4" max="4" width="23.21875" bestFit="1" customWidth="1"/>
    <col min="5" max="6" width="18" customWidth="1"/>
    <col min="8" max="9" width="18" customWidth="1"/>
  </cols>
  <sheetData>
    <row r="1" spans="1:11" ht="18" x14ac:dyDescent="0.35">
      <c r="A1" s="3" t="s">
        <v>280</v>
      </c>
      <c r="B1" s="4"/>
      <c r="C1" s="4"/>
      <c r="D1" s="4"/>
      <c r="E1" s="4"/>
      <c r="F1" s="4"/>
    </row>
    <row r="2" spans="1:11" x14ac:dyDescent="0.3">
      <c r="A2" s="5" t="s">
        <v>0</v>
      </c>
      <c r="B2" s="5" t="s">
        <v>9</v>
      </c>
      <c r="C2" s="5" t="s">
        <v>281</v>
      </c>
      <c r="D2" s="5" t="s">
        <v>282</v>
      </c>
      <c r="E2" s="5" t="s">
        <v>283</v>
      </c>
      <c r="F2" s="5" t="s">
        <v>284</v>
      </c>
      <c r="H2" s="2" t="s">
        <v>285</v>
      </c>
      <c r="K2" t="s">
        <v>286</v>
      </c>
    </row>
    <row r="3" spans="1:11" x14ac:dyDescent="0.3">
      <c r="A3" t="str">
        <f>[1]Customer_Data!A2</f>
        <v>C0001</v>
      </c>
      <c r="B3">
        <f>[1]Customer_Data!J2</f>
        <v>55</v>
      </c>
      <c r="C3">
        <f>[1]Customer_Data!K2</f>
        <v>5</v>
      </c>
      <c r="D3">
        <f>[1]Customer_Data!M2</f>
        <v>10943</v>
      </c>
      <c r="H3" t="s">
        <v>287</v>
      </c>
    </row>
    <row r="4" spans="1:11" x14ac:dyDescent="0.3">
      <c r="A4" t="str">
        <f>[1]Customer_Data!A3</f>
        <v>C0002</v>
      </c>
      <c r="B4">
        <f>[1]Customer_Data!J3</f>
        <v>62</v>
      </c>
      <c r="C4">
        <f>[1]Customer_Data!K3</f>
        <v>4</v>
      </c>
      <c r="D4">
        <f>[1]Customer_Data!M3</f>
        <v>10243</v>
      </c>
      <c r="H4" t="s">
        <v>288</v>
      </c>
    </row>
    <row r="5" spans="1:11" x14ac:dyDescent="0.3">
      <c r="A5" t="str">
        <f>[1]Customer_Data!A4</f>
        <v>C0003</v>
      </c>
      <c r="B5">
        <f>[1]Customer_Data!J4</f>
        <v>4</v>
      </c>
      <c r="C5">
        <f>[1]Customer_Data!K4</f>
        <v>5</v>
      </c>
      <c r="D5">
        <f>[1]Customer_Data!M4</f>
        <v>12817</v>
      </c>
      <c r="H5" t="s">
        <v>289</v>
      </c>
    </row>
    <row r="6" spans="1:11" x14ac:dyDescent="0.3">
      <c r="A6" t="str">
        <f>[1]Customer_Data!A5</f>
        <v>C0004</v>
      </c>
      <c r="B6">
        <f>[1]Customer_Data!J5</f>
        <v>72</v>
      </c>
      <c r="C6">
        <f>[1]Customer_Data!K5</f>
        <v>5</v>
      </c>
      <c r="D6">
        <f>[1]Customer_Data!M5</f>
        <v>10322</v>
      </c>
    </row>
    <row r="7" spans="1:11" x14ac:dyDescent="0.3">
      <c r="A7" t="str">
        <f>[1]Customer_Data!A6</f>
        <v>C0005</v>
      </c>
      <c r="B7">
        <f>[1]Customer_Data!J6</f>
        <v>27</v>
      </c>
      <c r="C7">
        <f>[1]Customer_Data!K6</f>
        <v>5</v>
      </c>
      <c r="D7">
        <f>[1]Customer_Data!M6</f>
        <v>28743</v>
      </c>
      <c r="H7" s="2" t="s">
        <v>290</v>
      </c>
    </row>
    <row r="8" spans="1:11" x14ac:dyDescent="0.3">
      <c r="A8" t="str">
        <f>[1]Customer_Data!A7</f>
        <v>C0006</v>
      </c>
      <c r="B8">
        <f>[1]Customer_Data!J7</f>
        <v>49</v>
      </c>
      <c r="C8">
        <f>[1]Customer_Data!K7</f>
        <v>4</v>
      </c>
      <c r="D8">
        <f>[1]Customer_Data!M7</f>
        <v>14273</v>
      </c>
      <c r="H8" t="s">
        <v>287</v>
      </c>
    </row>
    <row r="9" spans="1:11" x14ac:dyDescent="0.3">
      <c r="A9" t="str">
        <f>[1]Customer_Data!A8</f>
        <v>C0007</v>
      </c>
      <c r="B9">
        <f>[1]Customer_Data!J8</f>
        <v>2</v>
      </c>
      <c r="C9">
        <f>[1]Customer_Data!K8</f>
        <v>6</v>
      </c>
      <c r="D9">
        <f>[1]Customer_Data!M8</f>
        <v>24832</v>
      </c>
      <c r="H9" t="s">
        <v>288</v>
      </c>
    </row>
    <row r="10" spans="1:11" x14ac:dyDescent="0.3">
      <c r="A10" t="str">
        <f>[1]Customer_Data!A9</f>
        <v>C0008</v>
      </c>
      <c r="B10">
        <f>[1]Customer_Data!J9</f>
        <v>32</v>
      </c>
      <c r="C10">
        <f>[1]Customer_Data!K9</f>
        <v>7</v>
      </c>
      <c r="D10">
        <f>[1]Customer_Data!M9</f>
        <v>29482</v>
      </c>
      <c r="H10" t="s">
        <v>289</v>
      </c>
    </row>
    <row r="11" spans="1:11" x14ac:dyDescent="0.3">
      <c r="A11" t="str">
        <f>[1]Customer_Data!A10</f>
        <v>C0009</v>
      </c>
      <c r="B11">
        <f>[1]Customer_Data!J10</f>
        <v>55</v>
      </c>
      <c r="C11">
        <f>[1]Customer_Data!K10</f>
        <v>7</v>
      </c>
      <c r="D11">
        <f>[1]Customer_Data!M10</f>
        <v>31103</v>
      </c>
    </row>
    <row r="12" spans="1:11" x14ac:dyDescent="0.3">
      <c r="A12" t="str">
        <f>[1]Customer_Data!A11</f>
        <v>C0010</v>
      </c>
      <c r="B12">
        <f>[1]Customer_Data!J11</f>
        <v>71</v>
      </c>
      <c r="C12">
        <f>[1]Customer_Data!K11</f>
        <v>2</v>
      </c>
      <c r="D12">
        <f>[1]Customer_Data!M11</f>
        <v>3721</v>
      </c>
      <c r="H12" s="2" t="s">
        <v>291</v>
      </c>
    </row>
    <row r="13" spans="1:11" x14ac:dyDescent="0.3">
      <c r="A13" t="str">
        <f>[1]Customer_Data!A12</f>
        <v>C0011</v>
      </c>
      <c r="B13">
        <f>[1]Customer_Data!J12</f>
        <v>14</v>
      </c>
      <c r="C13">
        <f>[1]Customer_Data!K12</f>
        <v>3</v>
      </c>
      <c r="D13">
        <f>[1]Customer_Data!M12</f>
        <v>43588</v>
      </c>
      <c r="H13" t="s">
        <v>287</v>
      </c>
    </row>
    <row r="14" spans="1:11" x14ac:dyDescent="0.3">
      <c r="A14" t="str">
        <f>[1]Customer_Data!A13</f>
        <v>C0012</v>
      </c>
      <c r="B14">
        <f>[1]Customer_Data!J13</f>
        <v>25</v>
      </c>
      <c r="C14">
        <f>[1]Customer_Data!K13</f>
        <v>4</v>
      </c>
      <c r="D14">
        <f>[1]Customer_Data!M13</f>
        <v>14479</v>
      </c>
      <c r="H14" t="s">
        <v>288</v>
      </c>
    </row>
    <row r="15" spans="1:11" x14ac:dyDescent="0.3">
      <c r="A15" t="str">
        <f>[1]Customer_Data!A14</f>
        <v>C0013</v>
      </c>
      <c r="B15">
        <f>[1]Customer_Data!J14</f>
        <v>44</v>
      </c>
      <c r="C15">
        <f>[1]Customer_Data!K14</f>
        <v>3</v>
      </c>
      <c r="D15">
        <f>[1]Customer_Data!M14</f>
        <v>16131</v>
      </c>
      <c r="H15" t="s">
        <v>289</v>
      </c>
    </row>
    <row r="16" spans="1:11" x14ac:dyDescent="0.3">
      <c r="A16" t="str">
        <f>[1]Customer_Data!A15</f>
        <v>C0014</v>
      </c>
      <c r="B16">
        <f>[1]Customer_Data!J15</f>
        <v>33</v>
      </c>
      <c r="C16">
        <f>[1]Customer_Data!K15</f>
        <v>4</v>
      </c>
      <c r="D16">
        <f>[1]Customer_Data!M15</f>
        <v>15260</v>
      </c>
    </row>
    <row r="17" spans="1:4" x14ac:dyDescent="0.3">
      <c r="A17" t="str">
        <f>[1]Customer_Data!A16</f>
        <v>C0015</v>
      </c>
      <c r="B17">
        <f>[1]Customer_Data!J16</f>
        <v>48</v>
      </c>
      <c r="C17">
        <f>[1]Customer_Data!K16</f>
        <v>6</v>
      </c>
      <c r="D17">
        <f>[1]Customer_Data!M16</f>
        <v>39736</v>
      </c>
    </row>
    <row r="18" spans="1:4" x14ac:dyDescent="0.3">
      <c r="A18" t="str">
        <f>[1]Customer_Data!A17</f>
        <v>C0016</v>
      </c>
      <c r="B18">
        <f>[1]Customer_Data!J17</f>
        <v>54</v>
      </c>
      <c r="C18">
        <f>[1]Customer_Data!K17</f>
        <v>6</v>
      </c>
      <c r="D18">
        <f>[1]Customer_Data!M17</f>
        <v>25451</v>
      </c>
    </row>
    <row r="19" spans="1:4" x14ac:dyDescent="0.3">
      <c r="A19" t="str">
        <f>[1]Customer_Data!A18</f>
        <v>C0017</v>
      </c>
      <c r="B19">
        <f>[1]Customer_Data!J18</f>
        <v>27</v>
      </c>
      <c r="C19">
        <f>[1]Customer_Data!K18</f>
        <v>4</v>
      </c>
      <c r="D19">
        <f>[1]Customer_Data!M18</f>
        <v>14466</v>
      </c>
    </row>
    <row r="20" spans="1:4" x14ac:dyDescent="0.3">
      <c r="A20" t="str">
        <f>[1]Customer_Data!A19</f>
        <v>C0018</v>
      </c>
      <c r="B20">
        <f>[1]Customer_Data!J19</f>
        <v>75</v>
      </c>
      <c r="C20">
        <f>[1]Customer_Data!K19</f>
        <v>3</v>
      </c>
      <c r="D20">
        <f>[1]Customer_Data!M19</f>
        <v>39622</v>
      </c>
    </row>
    <row r="21" spans="1:4" x14ac:dyDescent="0.3">
      <c r="A21" t="str">
        <f>[1]Customer_Data!A20</f>
        <v>C0019</v>
      </c>
      <c r="B21">
        <f>[1]Customer_Data!J20</f>
        <v>56</v>
      </c>
      <c r="C21">
        <f>[1]Customer_Data!K20</f>
        <v>3</v>
      </c>
      <c r="D21">
        <f>[1]Customer_Data!M20</f>
        <v>37881</v>
      </c>
    </row>
    <row r="22" spans="1:4" x14ac:dyDescent="0.3">
      <c r="A22" t="str">
        <f>[1]Customer_Data!A21</f>
        <v>C0020</v>
      </c>
      <c r="B22">
        <f>[1]Customer_Data!J21</f>
        <v>2</v>
      </c>
      <c r="C22">
        <f>[1]Customer_Data!K21</f>
        <v>4</v>
      </c>
      <c r="D22">
        <f>[1]Customer_Data!M21</f>
        <v>44673</v>
      </c>
    </row>
    <row r="23" spans="1:4" x14ac:dyDescent="0.3">
      <c r="A23" t="str">
        <f>[1]Customer_Data!A22</f>
        <v>C0021</v>
      </c>
      <c r="B23">
        <f>[1]Customer_Data!J22</f>
        <v>20</v>
      </c>
      <c r="C23">
        <f>[1]Customer_Data!K22</f>
        <v>2</v>
      </c>
      <c r="D23">
        <f>[1]Customer_Data!M22</f>
        <v>3282</v>
      </c>
    </row>
    <row r="24" spans="1:4" x14ac:dyDescent="0.3">
      <c r="A24" t="str">
        <f>[1]Customer_Data!A23</f>
        <v>C0022</v>
      </c>
      <c r="B24">
        <f>[1]Customer_Data!J23</f>
        <v>2</v>
      </c>
      <c r="C24">
        <f>[1]Customer_Data!K23</f>
        <v>6</v>
      </c>
      <c r="D24">
        <f>[1]Customer_Data!M23</f>
        <v>16280</v>
      </c>
    </row>
    <row r="25" spans="1:4" x14ac:dyDescent="0.3">
      <c r="A25" t="str">
        <f>[1]Customer_Data!A24</f>
        <v>C0023</v>
      </c>
      <c r="B25">
        <f>[1]Customer_Data!J24</f>
        <v>2</v>
      </c>
      <c r="C25">
        <f>[1]Customer_Data!K24</f>
        <v>3</v>
      </c>
      <c r="D25">
        <f>[1]Customer_Data!M24</f>
        <v>3464</v>
      </c>
    </row>
    <row r="26" spans="1:4" x14ac:dyDescent="0.3">
      <c r="A26" t="str">
        <f>[1]Customer_Data!A25</f>
        <v>C0024</v>
      </c>
      <c r="B26">
        <f>[1]Customer_Data!J25</f>
        <v>20</v>
      </c>
      <c r="C26">
        <f>[1]Customer_Data!K25</f>
        <v>6</v>
      </c>
      <c r="D26">
        <f>[1]Customer_Data!M25</f>
        <v>16398</v>
      </c>
    </row>
    <row r="27" spans="1:4" x14ac:dyDescent="0.3">
      <c r="A27" t="str">
        <f>[1]Customer_Data!A26</f>
        <v>C0025</v>
      </c>
      <c r="B27">
        <f>[1]Customer_Data!J26</f>
        <v>20</v>
      </c>
      <c r="C27">
        <f>[1]Customer_Data!K26</f>
        <v>6</v>
      </c>
      <c r="D27">
        <f>[1]Customer_Data!M26</f>
        <v>12637</v>
      </c>
    </row>
    <row r="28" spans="1:4" x14ac:dyDescent="0.3">
      <c r="A28" t="str">
        <f>[1]Customer_Data!A27</f>
        <v>C0026</v>
      </c>
      <c r="B28">
        <f>[1]Customer_Data!J27</f>
        <v>43</v>
      </c>
      <c r="C28">
        <f>[1]Customer_Data!K27</f>
        <v>9</v>
      </c>
      <c r="D28">
        <f>[1]Customer_Data!M27</f>
        <v>62275</v>
      </c>
    </row>
    <row r="29" spans="1:4" x14ac:dyDescent="0.3">
      <c r="A29" t="str">
        <f>[1]Customer_Data!A28</f>
        <v>C0027</v>
      </c>
      <c r="B29">
        <f>[1]Customer_Data!J28</f>
        <v>9</v>
      </c>
      <c r="C29">
        <f>[1]Customer_Data!K28</f>
        <v>4</v>
      </c>
      <c r="D29">
        <f>[1]Customer_Data!M28</f>
        <v>15126</v>
      </c>
    </row>
    <row r="30" spans="1:4" x14ac:dyDescent="0.3">
      <c r="A30" t="str">
        <f>[1]Customer_Data!A29</f>
        <v>C0028</v>
      </c>
      <c r="B30">
        <f>[1]Customer_Data!J29</f>
        <v>71</v>
      </c>
      <c r="C30">
        <f>[1]Customer_Data!K29</f>
        <v>3</v>
      </c>
      <c r="D30">
        <f>[1]Customer_Data!M29</f>
        <v>12862</v>
      </c>
    </row>
    <row r="31" spans="1:4" x14ac:dyDescent="0.3">
      <c r="A31" t="str">
        <f>[1]Customer_Data!A30</f>
        <v>C0029</v>
      </c>
      <c r="B31">
        <f>[1]Customer_Data!J30</f>
        <v>67</v>
      </c>
      <c r="C31">
        <f>[1]Customer_Data!K30</f>
        <v>5</v>
      </c>
      <c r="D31">
        <f>[1]Customer_Data!M30</f>
        <v>28324</v>
      </c>
    </row>
    <row r="32" spans="1:4" x14ac:dyDescent="0.3">
      <c r="A32" t="str">
        <f>[1]Customer_Data!A31</f>
        <v>C0030</v>
      </c>
      <c r="B32">
        <f>[1]Customer_Data!J31</f>
        <v>54</v>
      </c>
      <c r="C32">
        <f>[1]Customer_Data!K31</f>
        <v>4</v>
      </c>
      <c r="D32">
        <f>[1]Customer_Data!M31</f>
        <v>17732</v>
      </c>
    </row>
    <row r="33" spans="1:4" x14ac:dyDescent="0.3">
      <c r="A33" t="str">
        <f>[1]Customer_Data!A32</f>
        <v>C0031</v>
      </c>
      <c r="B33">
        <f>[1]Customer_Data!J32</f>
        <v>36</v>
      </c>
      <c r="C33">
        <f>[1]Customer_Data!K32</f>
        <v>3</v>
      </c>
      <c r="D33">
        <f>[1]Customer_Data!M32</f>
        <v>6104</v>
      </c>
    </row>
    <row r="34" spans="1:4" x14ac:dyDescent="0.3">
      <c r="A34" t="str">
        <f>[1]Customer_Data!A33</f>
        <v>C0032</v>
      </c>
      <c r="B34">
        <f>[1]Customer_Data!J33</f>
        <v>2</v>
      </c>
      <c r="C34">
        <f>[1]Customer_Data!K33</f>
        <v>4</v>
      </c>
      <c r="D34">
        <f>[1]Customer_Data!M33</f>
        <v>17117</v>
      </c>
    </row>
    <row r="35" spans="1:4" x14ac:dyDescent="0.3">
      <c r="A35" t="str">
        <f>[1]Customer_Data!A34</f>
        <v>C0033</v>
      </c>
      <c r="B35">
        <f>[1]Customer_Data!J34</f>
        <v>11</v>
      </c>
      <c r="C35">
        <f>[1]Customer_Data!K34</f>
        <v>6</v>
      </c>
      <c r="D35">
        <f>[1]Customer_Data!M34</f>
        <v>41317</v>
      </c>
    </row>
    <row r="36" spans="1:4" x14ac:dyDescent="0.3">
      <c r="A36" t="str">
        <f>[1]Customer_Data!A35</f>
        <v>C0034</v>
      </c>
      <c r="B36">
        <f>[1]Customer_Data!J35</f>
        <v>26</v>
      </c>
      <c r="C36">
        <f>[1]Customer_Data!K35</f>
        <v>5</v>
      </c>
      <c r="D36">
        <f>[1]Customer_Data!M35</f>
        <v>31496</v>
      </c>
    </row>
    <row r="37" spans="1:4" x14ac:dyDescent="0.3">
      <c r="A37" t="str">
        <f>[1]Customer_Data!A36</f>
        <v>C0035</v>
      </c>
      <c r="B37">
        <f>[1]Customer_Data!J36</f>
        <v>27</v>
      </c>
      <c r="C37">
        <f>[1]Customer_Data!K36</f>
        <v>4</v>
      </c>
      <c r="D37">
        <f>[1]Customer_Data!M36</f>
        <v>11616</v>
      </c>
    </row>
    <row r="38" spans="1:4" x14ac:dyDescent="0.3">
      <c r="A38" t="str">
        <f>[1]Customer_Data!A37</f>
        <v>C0036</v>
      </c>
      <c r="B38">
        <f>[1]Customer_Data!J37</f>
        <v>20</v>
      </c>
      <c r="C38">
        <f>[1]Customer_Data!K37</f>
        <v>2</v>
      </c>
      <c r="D38">
        <f>[1]Customer_Data!M37</f>
        <v>3094</v>
      </c>
    </row>
    <row r="39" spans="1:4" x14ac:dyDescent="0.3">
      <c r="A39" t="str">
        <f>[1]Customer_Data!A38</f>
        <v>C0037</v>
      </c>
      <c r="B39">
        <f>[1]Customer_Data!J38</f>
        <v>13</v>
      </c>
      <c r="C39">
        <f>[1]Customer_Data!K38</f>
        <v>1</v>
      </c>
      <c r="D39">
        <f>[1]Customer_Data!M38</f>
        <v>2296</v>
      </c>
    </row>
    <row r="40" spans="1:4" x14ac:dyDescent="0.3">
      <c r="A40" t="str">
        <f>[1]Customer_Data!A39</f>
        <v>C0038</v>
      </c>
      <c r="B40">
        <f>[1]Customer_Data!J39</f>
        <v>44</v>
      </c>
      <c r="C40">
        <f>[1]Customer_Data!K39</f>
        <v>3</v>
      </c>
      <c r="D40">
        <f>[1]Customer_Data!M39</f>
        <v>16623</v>
      </c>
    </row>
    <row r="41" spans="1:4" x14ac:dyDescent="0.3">
      <c r="A41" t="str">
        <f>[1]Customer_Data!A40</f>
        <v>C0039</v>
      </c>
      <c r="B41">
        <f>[1]Customer_Data!J40</f>
        <v>30</v>
      </c>
      <c r="C41">
        <f>[1]Customer_Data!K40</f>
        <v>2</v>
      </c>
      <c r="D41">
        <f>[1]Customer_Data!M40</f>
        <v>7772</v>
      </c>
    </row>
    <row r="42" spans="1:4" x14ac:dyDescent="0.3">
      <c r="A42" t="str">
        <f>[1]Customer_Data!A41</f>
        <v>C0040</v>
      </c>
      <c r="B42">
        <f>[1]Customer_Data!J41</f>
        <v>52</v>
      </c>
      <c r="C42">
        <f>[1]Customer_Data!K41</f>
        <v>4</v>
      </c>
      <c r="D42">
        <f>[1]Customer_Data!M41</f>
        <v>4008</v>
      </c>
    </row>
    <row r="43" spans="1:4" x14ac:dyDescent="0.3">
      <c r="A43" t="str">
        <f>[1]Customer_Data!A42</f>
        <v>C0041</v>
      </c>
      <c r="B43">
        <f>[1]Customer_Data!J42</f>
        <v>2</v>
      </c>
      <c r="C43">
        <f>[1]Customer_Data!K42</f>
        <v>3</v>
      </c>
      <c r="D43">
        <f>[1]Customer_Data!M42</f>
        <v>8255</v>
      </c>
    </row>
    <row r="44" spans="1:4" x14ac:dyDescent="0.3">
      <c r="A44" t="str">
        <f>[1]Customer_Data!A43</f>
        <v>C0042</v>
      </c>
      <c r="B44">
        <f>[1]Customer_Data!J43</f>
        <v>23</v>
      </c>
      <c r="C44">
        <f>[1]Customer_Data!K43</f>
        <v>5</v>
      </c>
      <c r="D44">
        <f>[1]Customer_Data!M43</f>
        <v>64386</v>
      </c>
    </row>
    <row r="45" spans="1:4" x14ac:dyDescent="0.3">
      <c r="A45" t="str">
        <f>[1]Customer_Data!A44</f>
        <v>C0043</v>
      </c>
      <c r="B45">
        <f>[1]Customer_Data!J44</f>
        <v>2</v>
      </c>
      <c r="C45">
        <f>[1]Customer_Data!K44</f>
        <v>5</v>
      </c>
      <c r="D45">
        <f>[1]Customer_Data!M44</f>
        <v>17600</v>
      </c>
    </row>
    <row r="46" spans="1:4" x14ac:dyDescent="0.3">
      <c r="A46" t="str">
        <f>[1]Customer_Data!A45</f>
        <v>C0044</v>
      </c>
      <c r="B46">
        <f>[1]Customer_Data!J45</f>
        <v>10</v>
      </c>
      <c r="C46">
        <f>[1]Customer_Data!K45</f>
        <v>3</v>
      </c>
      <c r="D46">
        <f>[1]Customer_Data!M45</f>
        <v>14093</v>
      </c>
    </row>
    <row r="47" spans="1:4" x14ac:dyDescent="0.3">
      <c r="A47" t="str">
        <f>[1]Customer_Data!A46</f>
        <v>C0045</v>
      </c>
      <c r="B47">
        <f>[1]Customer_Data!J46</f>
        <v>4</v>
      </c>
      <c r="C47">
        <f>[1]Customer_Data!K46</f>
        <v>4</v>
      </c>
      <c r="D47">
        <f>[1]Customer_Data!M46</f>
        <v>34647</v>
      </c>
    </row>
    <row r="48" spans="1:4" x14ac:dyDescent="0.3">
      <c r="A48" t="str">
        <f>[1]Customer_Data!A47</f>
        <v>C0046</v>
      </c>
      <c r="B48">
        <f>[1]Customer_Data!J47</f>
        <v>22</v>
      </c>
      <c r="C48">
        <f>[1]Customer_Data!K47</f>
        <v>3</v>
      </c>
      <c r="D48">
        <f>[1]Customer_Data!M47</f>
        <v>11630</v>
      </c>
    </row>
    <row r="49" spans="1:4" x14ac:dyDescent="0.3">
      <c r="A49" t="str">
        <f>[1]Customer_Data!A48</f>
        <v>C0047</v>
      </c>
      <c r="B49">
        <f>[1]Customer_Data!J48</f>
        <v>6</v>
      </c>
      <c r="C49">
        <f>[1]Customer_Data!K48</f>
        <v>6</v>
      </c>
      <c r="D49">
        <f>[1]Customer_Data!M48</f>
        <v>20879</v>
      </c>
    </row>
    <row r="50" spans="1:4" x14ac:dyDescent="0.3">
      <c r="A50" t="str">
        <f>[1]Customer_Data!A49</f>
        <v>C0048</v>
      </c>
      <c r="B50">
        <f>[1]Customer_Data!J49</f>
        <v>23</v>
      </c>
      <c r="C50">
        <f>[1]Customer_Data!K49</f>
        <v>4</v>
      </c>
      <c r="D50">
        <f>[1]Customer_Data!M49</f>
        <v>19912</v>
      </c>
    </row>
    <row r="51" spans="1:4" x14ac:dyDescent="0.3">
      <c r="A51" t="str">
        <f>[1]Customer_Data!A50</f>
        <v>C0049</v>
      </c>
      <c r="B51">
        <f>[1]Customer_Data!J50</f>
        <v>2</v>
      </c>
      <c r="C51">
        <f>[1]Customer_Data!K50</f>
        <v>3</v>
      </c>
      <c r="D51">
        <f>[1]Customer_Data!M50</f>
        <v>17466</v>
      </c>
    </row>
    <row r="52" spans="1:4" x14ac:dyDescent="0.3">
      <c r="A52" t="str">
        <f>[1]Customer_Data!A51</f>
        <v>C0050</v>
      </c>
      <c r="B52">
        <f>[1]Customer_Data!J51</f>
        <v>16</v>
      </c>
      <c r="C52">
        <f>[1]Customer_Data!K51</f>
        <v>4</v>
      </c>
      <c r="D52">
        <f>[1]Customer_Data!M51</f>
        <v>12060</v>
      </c>
    </row>
    <row r="53" spans="1:4" x14ac:dyDescent="0.3">
      <c r="A53" t="str">
        <f>[1]Customer_Data!A52</f>
        <v>C0051</v>
      </c>
      <c r="B53">
        <f>[1]Customer_Data!J52</f>
        <v>45</v>
      </c>
      <c r="C53">
        <f>[1]Customer_Data!K52</f>
        <v>5</v>
      </c>
      <c r="D53">
        <f>[1]Customer_Data!M52</f>
        <v>67494</v>
      </c>
    </row>
    <row r="54" spans="1:4" x14ac:dyDescent="0.3">
      <c r="A54" t="str">
        <f>[1]Customer_Data!A53</f>
        <v>C0052</v>
      </c>
      <c r="B54">
        <f>[1]Customer_Data!J53</f>
        <v>47</v>
      </c>
      <c r="C54">
        <f>[1]Customer_Data!K53</f>
        <v>4</v>
      </c>
      <c r="D54">
        <f>[1]Customer_Data!M53</f>
        <v>5223</v>
      </c>
    </row>
    <row r="55" spans="1:4" x14ac:dyDescent="0.3">
      <c r="A55" t="str">
        <f>[1]Customer_Data!A54</f>
        <v>C0053</v>
      </c>
      <c r="B55">
        <f>[1]Customer_Data!J54</f>
        <v>2</v>
      </c>
      <c r="C55">
        <f>[1]Customer_Data!K54</f>
        <v>2</v>
      </c>
      <c r="D55">
        <f>[1]Customer_Data!M54</f>
        <v>44617</v>
      </c>
    </row>
    <row r="56" spans="1:4" x14ac:dyDescent="0.3">
      <c r="A56" t="str">
        <f>[1]Customer_Data!A55</f>
        <v>C0054</v>
      </c>
      <c r="B56">
        <f>[1]Customer_Data!J55</f>
        <v>2</v>
      </c>
      <c r="C56">
        <f>[1]Customer_Data!K55</f>
        <v>6</v>
      </c>
      <c r="D56">
        <f>[1]Customer_Data!M55</f>
        <v>26548</v>
      </c>
    </row>
    <row r="57" spans="1:4" x14ac:dyDescent="0.3">
      <c r="A57" t="str">
        <f>[1]Customer_Data!A56</f>
        <v>C0055</v>
      </c>
      <c r="B57">
        <f>[1]Customer_Data!J56</f>
        <v>18</v>
      </c>
      <c r="C57">
        <f>[1]Customer_Data!K56</f>
        <v>4</v>
      </c>
      <c r="D57">
        <f>[1]Customer_Data!M56</f>
        <v>58643</v>
      </c>
    </row>
    <row r="58" spans="1:4" x14ac:dyDescent="0.3">
      <c r="A58" t="str">
        <f>[1]Customer_Data!A57</f>
        <v>C0056</v>
      </c>
      <c r="B58">
        <f>[1]Customer_Data!J57</f>
        <v>34</v>
      </c>
      <c r="C58">
        <f>[1]Customer_Data!K57</f>
        <v>3</v>
      </c>
      <c r="D58">
        <f>[1]Customer_Data!M57</f>
        <v>10876</v>
      </c>
    </row>
    <row r="59" spans="1:4" x14ac:dyDescent="0.3">
      <c r="A59" t="str">
        <f>[1]Customer_Data!A58</f>
        <v>C0057</v>
      </c>
      <c r="B59">
        <f>[1]Customer_Data!J58</f>
        <v>54</v>
      </c>
      <c r="C59">
        <f>[1]Customer_Data!K58</f>
        <v>3</v>
      </c>
      <c r="D59">
        <f>[1]Customer_Data!M58</f>
        <v>9500</v>
      </c>
    </row>
    <row r="60" spans="1:4" x14ac:dyDescent="0.3">
      <c r="A60" t="str">
        <f>[1]Customer_Data!A59</f>
        <v>C0058</v>
      </c>
      <c r="B60">
        <f>[1]Customer_Data!J59</f>
        <v>26</v>
      </c>
      <c r="C60">
        <f>[1]Customer_Data!K59</f>
        <v>4</v>
      </c>
      <c r="D60">
        <f>[1]Customer_Data!M59</f>
        <v>17669</v>
      </c>
    </row>
    <row r="61" spans="1:4" x14ac:dyDescent="0.3">
      <c r="A61" t="str">
        <f>[1]Customer_Data!A60</f>
        <v>C0059</v>
      </c>
      <c r="B61">
        <f>[1]Customer_Data!J60</f>
        <v>21</v>
      </c>
      <c r="C61">
        <f>[1]Customer_Data!K60</f>
        <v>5</v>
      </c>
      <c r="D61">
        <f>[1]Customer_Data!M60</f>
        <v>22493</v>
      </c>
    </row>
    <row r="62" spans="1:4" x14ac:dyDescent="0.3">
      <c r="A62" t="str">
        <f>[1]Customer_Data!A61</f>
        <v>C0060</v>
      </c>
      <c r="B62">
        <f>[1]Customer_Data!J61</f>
        <v>49</v>
      </c>
      <c r="C62">
        <f>[1]Customer_Data!K61</f>
        <v>3</v>
      </c>
      <c r="D62">
        <f>[1]Customer_Data!M61</f>
        <v>4598</v>
      </c>
    </row>
    <row r="63" spans="1:4" x14ac:dyDescent="0.3">
      <c r="A63" t="str">
        <f>[1]Customer_Data!A62</f>
        <v>C0061</v>
      </c>
      <c r="B63">
        <f>[1]Customer_Data!J62</f>
        <v>25</v>
      </c>
      <c r="C63">
        <f>[1]Customer_Data!K62</f>
        <v>2</v>
      </c>
      <c r="D63">
        <f>[1]Customer_Data!M62</f>
        <v>43819</v>
      </c>
    </row>
    <row r="64" spans="1:4" x14ac:dyDescent="0.3">
      <c r="A64" t="str">
        <f>[1]Customer_Data!A63</f>
        <v>C0062</v>
      </c>
      <c r="B64">
        <f>[1]Customer_Data!J63</f>
        <v>2</v>
      </c>
      <c r="C64">
        <f>[1]Customer_Data!K63</f>
        <v>4</v>
      </c>
      <c r="D64">
        <f>[1]Customer_Data!M63</f>
        <v>15822</v>
      </c>
    </row>
    <row r="65" spans="1:4" x14ac:dyDescent="0.3">
      <c r="A65" t="str">
        <f>[1]Customer_Data!A64</f>
        <v>C0063</v>
      </c>
      <c r="B65">
        <f>[1]Customer_Data!J64</f>
        <v>37</v>
      </c>
      <c r="C65">
        <f>[1]Customer_Data!K64</f>
        <v>6</v>
      </c>
      <c r="D65">
        <f>[1]Customer_Data!M64</f>
        <v>15723</v>
      </c>
    </row>
    <row r="66" spans="1:4" x14ac:dyDescent="0.3">
      <c r="A66" t="str">
        <f>[1]Customer_Data!A65</f>
        <v>C0064</v>
      </c>
      <c r="B66">
        <f>[1]Customer_Data!J65</f>
        <v>33</v>
      </c>
      <c r="C66">
        <f>[1]Customer_Data!K65</f>
        <v>2</v>
      </c>
      <c r="D66">
        <f>[1]Customer_Data!M65</f>
        <v>27806</v>
      </c>
    </row>
    <row r="67" spans="1:4" x14ac:dyDescent="0.3">
      <c r="A67" t="str">
        <f>[1]Customer_Data!A66</f>
        <v>C0065</v>
      </c>
      <c r="B67">
        <f>[1]Customer_Data!J66</f>
        <v>86</v>
      </c>
      <c r="C67">
        <f>[1]Customer_Data!K66</f>
        <v>3</v>
      </c>
      <c r="D67">
        <f>[1]Customer_Data!M66</f>
        <v>5772</v>
      </c>
    </row>
    <row r="68" spans="1:4" x14ac:dyDescent="0.3">
      <c r="A68" t="str">
        <f>[1]Customer_Data!A67</f>
        <v>C0066</v>
      </c>
      <c r="B68">
        <f>[1]Customer_Data!J67</f>
        <v>34</v>
      </c>
      <c r="C68">
        <f>[1]Customer_Data!K67</f>
        <v>3</v>
      </c>
      <c r="D68">
        <f>[1]Customer_Data!M67</f>
        <v>9465</v>
      </c>
    </row>
    <row r="69" spans="1:4" x14ac:dyDescent="0.3">
      <c r="A69" t="str">
        <f>[1]Customer_Data!A68</f>
        <v>C0067</v>
      </c>
      <c r="B69">
        <f>[1]Customer_Data!J68</f>
        <v>60</v>
      </c>
      <c r="C69">
        <f>[1]Customer_Data!K68</f>
        <v>4</v>
      </c>
      <c r="D69">
        <f>[1]Customer_Data!M68</f>
        <v>9195</v>
      </c>
    </row>
    <row r="70" spans="1:4" x14ac:dyDescent="0.3">
      <c r="A70" t="str">
        <f>[1]Customer_Data!A69</f>
        <v>C0068</v>
      </c>
      <c r="B70">
        <f>[1]Customer_Data!J69</f>
        <v>65</v>
      </c>
      <c r="C70">
        <f>[1]Customer_Data!K69</f>
        <v>6</v>
      </c>
      <c r="D70">
        <f>[1]Customer_Data!M69</f>
        <v>90445</v>
      </c>
    </row>
    <row r="71" spans="1:4" x14ac:dyDescent="0.3">
      <c r="A71" t="str">
        <f>[1]Customer_Data!A70</f>
        <v>C0069</v>
      </c>
      <c r="B71">
        <f>[1]Customer_Data!J70</f>
        <v>2</v>
      </c>
      <c r="C71">
        <f>[1]Customer_Data!K70</f>
        <v>3</v>
      </c>
      <c r="D71">
        <f>[1]Customer_Data!M70</f>
        <v>16489</v>
      </c>
    </row>
    <row r="72" spans="1:4" x14ac:dyDescent="0.3">
      <c r="A72" t="str">
        <f>[1]Customer_Data!A71</f>
        <v>C0070</v>
      </c>
      <c r="B72">
        <f>[1]Customer_Data!J71</f>
        <v>54</v>
      </c>
      <c r="C72">
        <f>[1]Customer_Data!K71</f>
        <v>3</v>
      </c>
      <c r="D72">
        <f>[1]Customer_Data!M71</f>
        <v>17574</v>
      </c>
    </row>
    <row r="73" spans="1:4" x14ac:dyDescent="0.3">
      <c r="A73" t="str">
        <f>[1]Customer_Data!A72</f>
        <v>C0071</v>
      </c>
      <c r="B73">
        <f>[1]Customer_Data!J72</f>
        <v>66</v>
      </c>
      <c r="C73">
        <f>[1]Customer_Data!K72</f>
        <v>3</v>
      </c>
      <c r="D73">
        <f>[1]Customer_Data!M72</f>
        <v>31836</v>
      </c>
    </row>
    <row r="74" spans="1:4" x14ac:dyDescent="0.3">
      <c r="A74" t="str">
        <f>[1]Customer_Data!A73</f>
        <v>C0072</v>
      </c>
      <c r="B74">
        <f>[1]Customer_Data!J73</f>
        <v>17</v>
      </c>
      <c r="C74">
        <f>[1]Customer_Data!K73</f>
        <v>4</v>
      </c>
      <c r="D74">
        <f>[1]Customer_Data!M73</f>
        <v>9368</v>
      </c>
    </row>
    <row r="75" spans="1:4" x14ac:dyDescent="0.3">
      <c r="A75" t="str">
        <f>[1]Customer_Data!A74</f>
        <v>C0073</v>
      </c>
      <c r="B75">
        <f>[1]Customer_Data!J74</f>
        <v>2</v>
      </c>
      <c r="C75">
        <f>[1]Customer_Data!K74</f>
        <v>6</v>
      </c>
      <c r="D75">
        <f>[1]Customer_Data!M74</f>
        <v>11871</v>
      </c>
    </row>
    <row r="76" spans="1:4" x14ac:dyDescent="0.3">
      <c r="A76" t="str">
        <f>[1]Customer_Data!A75</f>
        <v>C0074</v>
      </c>
      <c r="B76">
        <f>[1]Customer_Data!J75</f>
        <v>28</v>
      </c>
      <c r="C76">
        <f>[1]Customer_Data!K75</f>
        <v>4</v>
      </c>
      <c r="D76">
        <f>[1]Customer_Data!M75</f>
        <v>11755</v>
      </c>
    </row>
    <row r="77" spans="1:4" x14ac:dyDescent="0.3">
      <c r="A77" t="str">
        <f>[1]Customer_Data!A76</f>
        <v>C0075</v>
      </c>
      <c r="B77">
        <f>[1]Customer_Data!J76</f>
        <v>22</v>
      </c>
      <c r="C77">
        <f>[1]Customer_Data!K76</f>
        <v>5</v>
      </c>
      <c r="D77">
        <f>[1]Customer_Data!M76</f>
        <v>34839</v>
      </c>
    </row>
    <row r="78" spans="1:4" x14ac:dyDescent="0.3">
      <c r="A78" t="str">
        <f>[1]Customer_Data!A77</f>
        <v>C0076</v>
      </c>
      <c r="B78">
        <f>[1]Customer_Data!J77</f>
        <v>24</v>
      </c>
      <c r="C78">
        <f>[1]Customer_Data!K77</f>
        <v>6</v>
      </c>
      <c r="D78">
        <f>[1]Customer_Data!M77</f>
        <v>110726</v>
      </c>
    </row>
    <row r="79" spans="1:4" x14ac:dyDescent="0.3">
      <c r="A79" t="str">
        <f>[1]Customer_Data!A78</f>
        <v>C0077</v>
      </c>
      <c r="B79">
        <f>[1]Customer_Data!J78</f>
        <v>27</v>
      </c>
      <c r="C79">
        <f>[1]Customer_Data!K78</f>
        <v>7</v>
      </c>
      <c r="D79">
        <f>[1]Customer_Data!M78</f>
        <v>21030</v>
      </c>
    </row>
    <row r="80" spans="1:4" x14ac:dyDescent="0.3">
      <c r="A80" t="str">
        <f>[1]Customer_Data!A79</f>
        <v>C0078</v>
      </c>
      <c r="B80">
        <f>[1]Customer_Data!J79</f>
        <v>15</v>
      </c>
      <c r="C80">
        <f>[1]Customer_Data!K79</f>
        <v>6</v>
      </c>
      <c r="D80">
        <f>[1]Customer_Data!M79</f>
        <v>52366</v>
      </c>
    </row>
    <row r="81" spans="1:4" x14ac:dyDescent="0.3">
      <c r="A81" t="str">
        <f>[1]Customer_Data!A80</f>
        <v>C0079</v>
      </c>
      <c r="B81">
        <f>[1]Customer_Data!J80</f>
        <v>14</v>
      </c>
      <c r="C81">
        <f>[1]Customer_Data!K80</f>
        <v>3</v>
      </c>
      <c r="D81">
        <f>[1]Customer_Data!M80</f>
        <v>6376</v>
      </c>
    </row>
    <row r="82" spans="1:4" x14ac:dyDescent="0.3">
      <c r="A82" t="str">
        <f>[1]Customer_Data!A81</f>
        <v>C0080</v>
      </c>
      <c r="B82">
        <f>[1]Customer_Data!J81</f>
        <v>31</v>
      </c>
      <c r="C82">
        <f>[1]Customer_Data!K81</f>
        <v>6</v>
      </c>
      <c r="D82">
        <f>[1]Customer_Data!M81</f>
        <v>18313</v>
      </c>
    </row>
    <row r="83" spans="1:4" x14ac:dyDescent="0.3">
      <c r="A83" t="str">
        <f>[1]Customer_Data!A82</f>
        <v>C0081</v>
      </c>
      <c r="B83">
        <f>[1]Customer_Data!J82</f>
        <v>23</v>
      </c>
      <c r="C83">
        <f>[1]Customer_Data!K82</f>
        <v>5</v>
      </c>
      <c r="D83">
        <f>[1]Customer_Data!M82</f>
        <v>12780</v>
      </c>
    </row>
    <row r="84" spans="1:4" x14ac:dyDescent="0.3">
      <c r="A84" t="str">
        <f>[1]Customer_Data!A83</f>
        <v>C0082</v>
      </c>
      <c r="B84">
        <f>[1]Customer_Data!J83</f>
        <v>28</v>
      </c>
      <c r="C84">
        <f>[1]Customer_Data!K83</f>
        <v>4</v>
      </c>
      <c r="D84">
        <f>[1]Customer_Data!M83</f>
        <v>76074</v>
      </c>
    </row>
    <row r="85" spans="1:4" x14ac:dyDescent="0.3">
      <c r="A85" t="str">
        <f>[1]Customer_Data!A84</f>
        <v>C0083</v>
      </c>
      <c r="B85">
        <f>[1]Customer_Data!J84</f>
        <v>57</v>
      </c>
      <c r="C85">
        <f>[1]Customer_Data!K84</f>
        <v>5</v>
      </c>
      <c r="D85">
        <f>[1]Customer_Data!M84</f>
        <v>84460</v>
      </c>
    </row>
    <row r="86" spans="1:4" x14ac:dyDescent="0.3">
      <c r="A86" t="str">
        <f>[1]Customer_Data!A85</f>
        <v>C0084</v>
      </c>
      <c r="B86">
        <f>[1]Customer_Data!J85</f>
        <v>32</v>
      </c>
      <c r="C86">
        <f>[1]Customer_Data!K85</f>
        <v>3</v>
      </c>
      <c r="D86">
        <f>[1]Customer_Data!M85</f>
        <v>16787</v>
      </c>
    </row>
    <row r="87" spans="1:4" x14ac:dyDescent="0.3">
      <c r="A87" t="str">
        <f>[1]Customer_Data!A86</f>
        <v>C0085</v>
      </c>
      <c r="B87">
        <f>[1]Customer_Data!J86</f>
        <v>29</v>
      </c>
      <c r="C87">
        <f>[1]Customer_Data!K86</f>
        <v>5</v>
      </c>
      <c r="D87">
        <f>[1]Customer_Data!M86</f>
        <v>43412</v>
      </c>
    </row>
    <row r="88" spans="1:4" x14ac:dyDescent="0.3">
      <c r="A88" t="str">
        <f>[1]Customer_Data!A87</f>
        <v>C0086</v>
      </c>
      <c r="B88">
        <f>[1]Customer_Data!J87</f>
        <v>42</v>
      </c>
      <c r="C88">
        <f>[1]Customer_Data!K87</f>
        <v>4</v>
      </c>
      <c r="D88">
        <f>[1]Customer_Data!M87</f>
        <v>21317</v>
      </c>
    </row>
    <row r="89" spans="1:4" x14ac:dyDescent="0.3">
      <c r="A89" t="str">
        <f>[1]Customer_Data!A88</f>
        <v>C0087</v>
      </c>
      <c r="B89">
        <f>[1]Customer_Data!J88</f>
        <v>68</v>
      </c>
      <c r="C89">
        <f>[1]Customer_Data!K88</f>
        <v>6</v>
      </c>
      <c r="D89">
        <f>[1]Customer_Data!M88</f>
        <v>41453</v>
      </c>
    </row>
    <row r="90" spans="1:4" x14ac:dyDescent="0.3">
      <c r="A90" t="str">
        <f>[1]Customer_Data!A89</f>
        <v>C0088</v>
      </c>
      <c r="B90">
        <f>[1]Customer_Data!J89</f>
        <v>57</v>
      </c>
      <c r="C90">
        <f>[1]Customer_Data!K89</f>
        <v>6</v>
      </c>
      <c r="D90">
        <f>[1]Customer_Data!M89</f>
        <v>22372</v>
      </c>
    </row>
    <row r="91" spans="1:4" x14ac:dyDescent="0.3">
      <c r="A91" t="str">
        <f>[1]Customer_Data!A90</f>
        <v>C0089</v>
      </c>
      <c r="B91">
        <f>[1]Customer_Data!J90</f>
        <v>2</v>
      </c>
      <c r="C91">
        <f>[1]Customer_Data!K90</f>
        <v>4</v>
      </c>
      <c r="D91">
        <f>[1]Customer_Data!M90</f>
        <v>25989</v>
      </c>
    </row>
    <row r="92" spans="1:4" x14ac:dyDescent="0.3">
      <c r="A92" t="str">
        <f>[1]Customer_Data!A91</f>
        <v>C0090</v>
      </c>
      <c r="B92">
        <f>[1]Customer_Data!J91</f>
        <v>71</v>
      </c>
      <c r="C92">
        <f>[1]Customer_Data!K91</f>
        <v>5</v>
      </c>
      <c r="D92">
        <f>[1]Customer_Data!M91</f>
        <v>8409</v>
      </c>
    </row>
    <row r="93" spans="1:4" x14ac:dyDescent="0.3">
      <c r="A93" t="str">
        <f>[1]Customer_Data!A92</f>
        <v>C0091</v>
      </c>
      <c r="B93">
        <f>[1]Customer_Data!J92</f>
        <v>23</v>
      </c>
      <c r="C93">
        <f>[1]Customer_Data!K92</f>
        <v>7</v>
      </c>
      <c r="D93">
        <f>[1]Customer_Data!M92</f>
        <v>11896</v>
      </c>
    </row>
    <row r="94" spans="1:4" x14ac:dyDescent="0.3">
      <c r="A94" t="str">
        <f>[1]Customer_Data!A93</f>
        <v>C0092</v>
      </c>
      <c r="B94">
        <f>[1]Customer_Data!J93</f>
        <v>2</v>
      </c>
      <c r="C94">
        <f>[1]Customer_Data!K93</f>
        <v>5</v>
      </c>
      <c r="D94">
        <f>[1]Customer_Data!M93</f>
        <v>9222</v>
      </c>
    </row>
    <row r="95" spans="1:4" x14ac:dyDescent="0.3">
      <c r="A95" t="str">
        <f>[1]Customer_Data!A94</f>
        <v>C0093</v>
      </c>
      <c r="B95">
        <f>[1]Customer_Data!J94</f>
        <v>2</v>
      </c>
      <c r="C95">
        <f>[1]Customer_Data!K94</f>
        <v>4</v>
      </c>
      <c r="D95">
        <f>[1]Customer_Data!M94</f>
        <v>23266</v>
      </c>
    </row>
    <row r="96" spans="1:4" x14ac:dyDescent="0.3">
      <c r="A96" t="str">
        <f>[1]Customer_Data!A95</f>
        <v>C0094</v>
      </c>
      <c r="B96">
        <f>[1]Customer_Data!J95</f>
        <v>24</v>
      </c>
      <c r="C96">
        <f>[1]Customer_Data!K95</f>
        <v>3</v>
      </c>
      <c r="D96">
        <f>[1]Customer_Data!M95</f>
        <v>14694</v>
      </c>
    </row>
    <row r="97" spans="1:4" x14ac:dyDescent="0.3">
      <c r="A97" t="str">
        <f>[1]Customer_Data!A96</f>
        <v>C0095</v>
      </c>
      <c r="B97">
        <f>[1]Customer_Data!J96</f>
        <v>2</v>
      </c>
      <c r="C97">
        <f>[1]Customer_Data!K96</f>
        <v>5</v>
      </c>
      <c r="D97">
        <f>[1]Customer_Data!M96</f>
        <v>27740</v>
      </c>
    </row>
    <row r="98" spans="1:4" x14ac:dyDescent="0.3">
      <c r="A98" t="str">
        <f>[1]Customer_Data!A97</f>
        <v>C0096</v>
      </c>
      <c r="B98">
        <f>[1]Customer_Data!J97</f>
        <v>28</v>
      </c>
      <c r="C98">
        <f>[1]Customer_Data!K97</f>
        <v>6</v>
      </c>
      <c r="D98">
        <f>[1]Customer_Data!M97</f>
        <v>34473</v>
      </c>
    </row>
    <row r="99" spans="1:4" x14ac:dyDescent="0.3">
      <c r="A99" t="str">
        <f>[1]Customer_Data!A98</f>
        <v>C0097</v>
      </c>
      <c r="B99">
        <f>[1]Customer_Data!J98</f>
        <v>49</v>
      </c>
      <c r="C99">
        <f>[1]Customer_Data!K98</f>
        <v>3</v>
      </c>
      <c r="D99">
        <f>[1]Customer_Data!M98</f>
        <v>20926</v>
      </c>
    </row>
    <row r="100" spans="1:4" x14ac:dyDescent="0.3">
      <c r="A100" t="str">
        <f>[1]Customer_Data!A99</f>
        <v>C0098</v>
      </c>
      <c r="B100">
        <f>[1]Customer_Data!J99</f>
        <v>4</v>
      </c>
      <c r="C100">
        <f>[1]Customer_Data!K99</f>
        <v>3</v>
      </c>
      <c r="D100">
        <f>[1]Customer_Data!M99</f>
        <v>18073</v>
      </c>
    </row>
    <row r="101" spans="1:4" x14ac:dyDescent="0.3">
      <c r="A101" t="str">
        <f>[1]Customer_Data!A100</f>
        <v>C0099</v>
      </c>
      <c r="B101">
        <f>[1]Customer_Data!J100</f>
        <v>42</v>
      </c>
      <c r="C101">
        <f>[1]Customer_Data!K100</f>
        <v>5</v>
      </c>
      <c r="D101">
        <f>[1]Customer_Data!M100</f>
        <v>126182</v>
      </c>
    </row>
    <row r="102" spans="1:4" x14ac:dyDescent="0.3">
      <c r="A102" t="str">
        <f>[1]Customer_Data!A101</f>
        <v>C0100</v>
      </c>
      <c r="B102">
        <f>[1]Customer_Data!J101</f>
        <v>37</v>
      </c>
      <c r="C102">
        <f>[1]Customer_Data!K101</f>
        <v>3</v>
      </c>
      <c r="D102">
        <f>[1]Customer_Data!M101</f>
        <v>18530</v>
      </c>
    </row>
    <row r="103" spans="1:4" x14ac:dyDescent="0.3">
      <c r="A103" t="str">
        <f>[1]Customer_Data!A102</f>
        <v>C0101</v>
      </c>
      <c r="B103">
        <f>[1]Customer_Data!J102</f>
        <v>59</v>
      </c>
      <c r="C103">
        <f>[1]Customer_Data!K102</f>
        <v>3</v>
      </c>
      <c r="D103">
        <f>[1]Customer_Data!M102</f>
        <v>15694</v>
      </c>
    </row>
    <row r="104" spans="1:4" x14ac:dyDescent="0.3">
      <c r="A104" t="str">
        <f>[1]Customer_Data!A103</f>
        <v>C0102</v>
      </c>
      <c r="B104">
        <f>[1]Customer_Data!J103</f>
        <v>11</v>
      </c>
      <c r="C104">
        <f>[1]Customer_Data!K103</f>
        <v>7</v>
      </c>
      <c r="D104">
        <f>[1]Customer_Data!M103</f>
        <v>30330</v>
      </c>
    </row>
    <row r="105" spans="1:4" x14ac:dyDescent="0.3">
      <c r="A105" t="str">
        <f>[1]Customer_Data!A104</f>
        <v>C0103</v>
      </c>
      <c r="B105">
        <f>[1]Customer_Data!J104</f>
        <v>45</v>
      </c>
      <c r="C105">
        <f>[1]Customer_Data!K104</f>
        <v>6</v>
      </c>
      <c r="D105">
        <f>[1]Customer_Data!M104</f>
        <v>38566</v>
      </c>
    </row>
    <row r="106" spans="1:4" x14ac:dyDescent="0.3">
      <c r="A106" t="str">
        <f>[1]Customer_Data!A105</f>
        <v>C0104</v>
      </c>
      <c r="B106">
        <f>[1]Customer_Data!J105</f>
        <v>76</v>
      </c>
      <c r="C106">
        <f>[1]Customer_Data!K105</f>
        <v>5</v>
      </c>
      <c r="D106">
        <f>[1]Customer_Data!M105</f>
        <v>11294</v>
      </c>
    </row>
    <row r="107" spans="1:4" x14ac:dyDescent="0.3">
      <c r="A107" t="str">
        <f>[1]Customer_Data!A106</f>
        <v>C0105</v>
      </c>
      <c r="B107">
        <f>[1]Customer_Data!J106</f>
        <v>30</v>
      </c>
      <c r="C107">
        <f>[1]Customer_Data!K106</f>
        <v>5</v>
      </c>
      <c r="D107">
        <f>[1]Customer_Data!M106</f>
        <v>33843</v>
      </c>
    </row>
    <row r="108" spans="1:4" x14ac:dyDescent="0.3">
      <c r="A108" t="str">
        <f>[1]Customer_Data!A107</f>
        <v>C0106</v>
      </c>
      <c r="B108">
        <f>[1]Customer_Data!J107</f>
        <v>67</v>
      </c>
      <c r="C108">
        <f>[1]Customer_Data!K107</f>
        <v>3</v>
      </c>
      <c r="D108">
        <f>[1]Customer_Data!M107</f>
        <v>4170</v>
      </c>
    </row>
    <row r="109" spans="1:4" x14ac:dyDescent="0.3">
      <c r="A109" t="str">
        <f>[1]Customer_Data!A108</f>
        <v>C0107</v>
      </c>
      <c r="B109">
        <f>[1]Customer_Data!J108</f>
        <v>3</v>
      </c>
      <c r="C109">
        <f>[1]Customer_Data!K108</f>
        <v>1</v>
      </c>
      <c r="D109">
        <f>[1]Customer_Data!M108</f>
        <v>2235</v>
      </c>
    </row>
    <row r="110" spans="1:4" x14ac:dyDescent="0.3">
      <c r="A110" t="str">
        <f>[1]Customer_Data!A109</f>
        <v>C0108</v>
      </c>
      <c r="B110">
        <f>[1]Customer_Data!J109</f>
        <v>24</v>
      </c>
      <c r="C110">
        <f>[1]Customer_Data!K109</f>
        <v>6</v>
      </c>
      <c r="D110">
        <f>[1]Customer_Data!M109</f>
        <v>22591</v>
      </c>
    </row>
    <row r="111" spans="1:4" x14ac:dyDescent="0.3">
      <c r="A111" t="str">
        <f>[1]Customer_Data!A110</f>
        <v>C0109</v>
      </c>
      <c r="B111">
        <f>[1]Customer_Data!J110</f>
        <v>61</v>
      </c>
      <c r="C111">
        <f>[1]Customer_Data!K110</f>
        <v>7</v>
      </c>
      <c r="D111">
        <f>[1]Customer_Data!M110</f>
        <v>16627</v>
      </c>
    </row>
    <row r="112" spans="1:4" x14ac:dyDescent="0.3">
      <c r="A112" t="str">
        <f>[1]Customer_Data!A111</f>
        <v>C0110</v>
      </c>
      <c r="B112">
        <f>[1]Customer_Data!J111</f>
        <v>31</v>
      </c>
      <c r="C112">
        <f>[1]Customer_Data!K111</f>
        <v>5</v>
      </c>
      <c r="D112">
        <f>[1]Customer_Data!M111</f>
        <v>32775</v>
      </c>
    </row>
    <row r="113" spans="1:4" x14ac:dyDescent="0.3">
      <c r="A113" t="str">
        <f>[1]Customer_Data!A112</f>
        <v>C0111</v>
      </c>
      <c r="B113">
        <f>[1]Customer_Data!J112</f>
        <v>46</v>
      </c>
      <c r="C113">
        <f>[1]Customer_Data!K112</f>
        <v>4</v>
      </c>
      <c r="D113">
        <f>[1]Customer_Data!M112</f>
        <v>10062</v>
      </c>
    </row>
    <row r="114" spans="1:4" x14ac:dyDescent="0.3">
      <c r="A114" t="str">
        <f>[1]Customer_Data!A113</f>
        <v>C0112</v>
      </c>
      <c r="B114">
        <f>[1]Customer_Data!J113</f>
        <v>25</v>
      </c>
      <c r="C114">
        <f>[1]Customer_Data!K113</f>
        <v>6</v>
      </c>
      <c r="D114">
        <f>[1]Customer_Data!M113</f>
        <v>34403</v>
      </c>
    </row>
    <row r="115" spans="1:4" x14ac:dyDescent="0.3">
      <c r="A115" t="str">
        <f>[1]Customer_Data!A114</f>
        <v>C0113</v>
      </c>
      <c r="B115">
        <f>[1]Customer_Data!J114</f>
        <v>22</v>
      </c>
      <c r="C115">
        <f>[1]Customer_Data!K114</f>
        <v>4</v>
      </c>
      <c r="D115">
        <f>[1]Customer_Data!M114</f>
        <v>17612</v>
      </c>
    </row>
    <row r="116" spans="1:4" x14ac:dyDescent="0.3">
      <c r="A116" t="str">
        <f>[1]Customer_Data!A115</f>
        <v>C0114</v>
      </c>
      <c r="B116">
        <f>[1]Customer_Data!J115</f>
        <v>53</v>
      </c>
      <c r="C116">
        <f>[1]Customer_Data!K115</f>
        <v>3</v>
      </c>
      <c r="D116">
        <f>[1]Customer_Data!M115</f>
        <v>8329</v>
      </c>
    </row>
    <row r="117" spans="1:4" x14ac:dyDescent="0.3">
      <c r="A117" t="str">
        <f>[1]Customer_Data!A116</f>
        <v>C0115</v>
      </c>
      <c r="B117">
        <f>[1]Customer_Data!J116</f>
        <v>52</v>
      </c>
      <c r="C117">
        <f>[1]Customer_Data!K116</f>
        <v>4</v>
      </c>
      <c r="D117">
        <f>[1]Customer_Data!M116</f>
        <v>7302</v>
      </c>
    </row>
    <row r="118" spans="1:4" x14ac:dyDescent="0.3">
      <c r="A118" t="str">
        <f>[1]Customer_Data!A117</f>
        <v>C0116</v>
      </c>
      <c r="B118">
        <f>[1]Customer_Data!J117</f>
        <v>56</v>
      </c>
      <c r="C118">
        <f>[1]Customer_Data!K117</f>
        <v>4</v>
      </c>
      <c r="D118">
        <f>[1]Customer_Data!M117</f>
        <v>17641</v>
      </c>
    </row>
    <row r="119" spans="1:4" x14ac:dyDescent="0.3">
      <c r="A119" t="str">
        <f>[1]Customer_Data!A118</f>
        <v>C0117</v>
      </c>
      <c r="B119">
        <f>[1]Customer_Data!J118</f>
        <v>2</v>
      </c>
      <c r="C119">
        <f>[1]Customer_Data!K118</f>
        <v>6</v>
      </c>
      <c r="D119">
        <f>[1]Customer_Data!M118</f>
        <v>22448</v>
      </c>
    </row>
    <row r="120" spans="1:4" x14ac:dyDescent="0.3">
      <c r="A120" t="str">
        <f>[1]Customer_Data!A119</f>
        <v>C0118</v>
      </c>
      <c r="B120">
        <f>[1]Customer_Data!J119</f>
        <v>2</v>
      </c>
      <c r="C120">
        <f>[1]Customer_Data!K119</f>
        <v>7</v>
      </c>
      <c r="D120">
        <f>[1]Customer_Data!M119</f>
        <v>53242</v>
      </c>
    </row>
    <row r="121" spans="1:4" x14ac:dyDescent="0.3">
      <c r="A121" t="str">
        <f>[1]Customer_Data!A120</f>
        <v>C0119</v>
      </c>
      <c r="B121">
        <f>[1]Customer_Data!J120</f>
        <v>33</v>
      </c>
      <c r="C121">
        <f>[1]Customer_Data!K120</f>
        <v>5</v>
      </c>
      <c r="D121">
        <f>[1]Customer_Data!M120</f>
        <v>67897</v>
      </c>
    </row>
    <row r="122" spans="1:4" x14ac:dyDescent="0.3">
      <c r="A122" t="str">
        <f>[1]Customer_Data!A121</f>
        <v>C0120</v>
      </c>
      <c r="B122">
        <f>[1]Customer_Data!J121</f>
        <v>42</v>
      </c>
      <c r="C122">
        <f>[1]Customer_Data!K121</f>
        <v>2</v>
      </c>
      <c r="D122">
        <f>[1]Customer_Data!M121</f>
        <v>9687</v>
      </c>
    </row>
    <row r="123" spans="1:4" x14ac:dyDescent="0.3">
      <c r="A123" t="str">
        <f>[1]Customer_Data!A122</f>
        <v>C0121</v>
      </c>
      <c r="B123">
        <f>[1]Customer_Data!J122</f>
        <v>41</v>
      </c>
      <c r="C123">
        <f>[1]Customer_Data!K122</f>
        <v>4</v>
      </c>
      <c r="D123">
        <f>[1]Customer_Data!M122</f>
        <v>26108</v>
      </c>
    </row>
    <row r="124" spans="1:4" x14ac:dyDescent="0.3">
      <c r="A124" t="str">
        <f>[1]Customer_Data!A123</f>
        <v>C0122</v>
      </c>
      <c r="B124">
        <f>[1]Customer_Data!J123</f>
        <v>21</v>
      </c>
      <c r="C124">
        <f>[1]Customer_Data!K123</f>
        <v>4</v>
      </c>
      <c r="D124">
        <f>[1]Customer_Data!M123</f>
        <v>10972</v>
      </c>
    </row>
    <row r="125" spans="1:4" x14ac:dyDescent="0.3">
      <c r="A125" t="str">
        <f>[1]Customer_Data!A124</f>
        <v>C0123</v>
      </c>
      <c r="B125">
        <f>[1]Customer_Data!J124</f>
        <v>11</v>
      </c>
      <c r="C125">
        <f>[1]Customer_Data!K124</f>
        <v>3</v>
      </c>
      <c r="D125">
        <f>[1]Customer_Data!M124</f>
        <v>12908</v>
      </c>
    </row>
    <row r="126" spans="1:4" x14ac:dyDescent="0.3">
      <c r="A126" t="str">
        <f>[1]Customer_Data!A125</f>
        <v>C0124</v>
      </c>
      <c r="B126">
        <f>[1]Customer_Data!J125</f>
        <v>8</v>
      </c>
      <c r="C126">
        <f>[1]Customer_Data!K125</f>
        <v>5</v>
      </c>
      <c r="D126">
        <f>[1]Customer_Data!M125</f>
        <v>67523</v>
      </c>
    </row>
    <row r="127" spans="1:4" x14ac:dyDescent="0.3">
      <c r="A127" t="str">
        <f>[1]Customer_Data!A126</f>
        <v>C0125</v>
      </c>
      <c r="B127">
        <f>[1]Customer_Data!J126</f>
        <v>26</v>
      </c>
      <c r="C127">
        <f>[1]Customer_Data!K126</f>
        <v>5</v>
      </c>
      <c r="D127">
        <f>[1]Customer_Data!M126</f>
        <v>10468</v>
      </c>
    </row>
    <row r="128" spans="1:4" x14ac:dyDescent="0.3">
      <c r="A128" t="str">
        <f>[1]Customer_Data!A127</f>
        <v>C0126</v>
      </c>
      <c r="B128">
        <f>[1]Customer_Data!J127</f>
        <v>29</v>
      </c>
      <c r="C128">
        <f>[1]Customer_Data!K127</f>
        <v>5</v>
      </c>
      <c r="D128">
        <f>[1]Customer_Data!M127</f>
        <v>7195</v>
      </c>
    </row>
    <row r="129" spans="1:4" x14ac:dyDescent="0.3">
      <c r="A129" t="str">
        <f>[1]Customer_Data!A128</f>
        <v>C0127</v>
      </c>
      <c r="B129">
        <f>[1]Customer_Data!J128</f>
        <v>40</v>
      </c>
      <c r="C129">
        <f>[1]Customer_Data!K128</f>
        <v>4</v>
      </c>
      <c r="D129">
        <f>[1]Customer_Data!M128</f>
        <v>74201</v>
      </c>
    </row>
    <row r="130" spans="1:4" x14ac:dyDescent="0.3">
      <c r="A130" t="str">
        <f>[1]Customer_Data!A129</f>
        <v>C0128</v>
      </c>
      <c r="B130">
        <f>[1]Customer_Data!J129</f>
        <v>32</v>
      </c>
      <c r="C130">
        <f>[1]Customer_Data!K129</f>
        <v>4</v>
      </c>
      <c r="D130">
        <f>[1]Customer_Data!M129</f>
        <v>11691</v>
      </c>
    </row>
    <row r="131" spans="1:4" x14ac:dyDescent="0.3">
      <c r="A131" t="str">
        <f>[1]Customer_Data!A130</f>
        <v>C0129</v>
      </c>
      <c r="B131">
        <f>[1]Customer_Data!J130</f>
        <v>54</v>
      </c>
      <c r="C131">
        <f>[1]Customer_Data!K130</f>
        <v>7</v>
      </c>
      <c r="D131">
        <f>[1]Customer_Data!M130</f>
        <v>53498</v>
      </c>
    </row>
    <row r="132" spans="1:4" x14ac:dyDescent="0.3">
      <c r="A132" t="str">
        <f>[1]Customer_Data!A131</f>
        <v>C0130</v>
      </c>
      <c r="B132">
        <f>[1]Customer_Data!J131</f>
        <v>2</v>
      </c>
      <c r="C132">
        <f>[1]Customer_Data!K131</f>
        <v>6</v>
      </c>
      <c r="D132">
        <f>[1]Customer_Data!M131</f>
        <v>26438</v>
      </c>
    </row>
    <row r="133" spans="1:4" x14ac:dyDescent="0.3">
      <c r="A133" t="str">
        <f>[1]Customer_Data!A132</f>
        <v>C0131</v>
      </c>
      <c r="B133">
        <f>[1]Customer_Data!J132</f>
        <v>46</v>
      </c>
      <c r="C133">
        <f>[1]Customer_Data!K132</f>
        <v>4</v>
      </c>
      <c r="D133">
        <f>[1]Customer_Data!M132</f>
        <v>26000</v>
      </c>
    </row>
    <row r="134" spans="1:4" x14ac:dyDescent="0.3">
      <c r="A134" t="str">
        <f>[1]Customer_Data!A133</f>
        <v>C0132</v>
      </c>
      <c r="B134">
        <f>[1]Customer_Data!J133</f>
        <v>31</v>
      </c>
      <c r="C134">
        <f>[1]Customer_Data!K133</f>
        <v>6</v>
      </c>
      <c r="D134">
        <f>[1]Customer_Data!M133</f>
        <v>13921</v>
      </c>
    </row>
    <row r="135" spans="1:4" x14ac:dyDescent="0.3">
      <c r="A135" t="str">
        <f>[1]Customer_Data!A134</f>
        <v>C0133</v>
      </c>
      <c r="B135">
        <f>[1]Customer_Data!J134</f>
        <v>23</v>
      </c>
      <c r="C135">
        <f>[1]Customer_Data!K134</f>
        <v>4</v>
      </c>
      <c r="D135">
        <f>[1]Customer_Data!M134</f>
        <v>13642</v>
      </c>
    </row>
    <row r="136" spans="1:4" x14ac:dyDescent="0.3">
      <c r="A136" t="str">
        <f>[1]Customer_Data!A135</f>
        <v>C0134</v>
      </c>
      <c r="B136">
        <f>[1]Customer_Data!J135</f>
        <v>26</v>
      </c>
      <c r="C136">
        <f>[1]Customer_Data!K135</f>
        <v>6</v>
      </c>
      <c r="D136">
        <f>[1]Customer_Data!M135</f>
        <v>8618</v>
      </c>
    </row>
    <row r="137" spans="1:4" x14ac:dyDescent="0.3">
      <c r="A137" t="str">
        <f>[1]Customer_Data!A136</f>
        <v>C0135</v>
      </c>
      <c r="B137">
        <f>[1]Customer_Data!J136</f>
        <v>65</v>
      </c>
      <c r="C137">
        <f>[1]Customer_Data!K136</f>
        <v>3</v>
      </c>
      <c r="D137">
        <f>[1]Customer_Data!M136</f>
        <v>15407</v>
      </c>
    </row>
    <row r="138" spans="1:4" x14ac:dyDescent="0.3">
      <c r="A138" t="str">
        <f>[1]Customer_Data!A137</f>
        <v>C0136</v>
      </c>
      <c r="B138">
        <f>[1]Customer_Data!J137</f>
        <v>28</v>
      </c>
      <c r="C138">
        <f>[1]Customer_Data!K137</f>
        <v>4</v>
      </c>
      <c r="D138">
        <f>[1]Customer_Data!M137</f>
        <v>61395</v>
      </c>
    </row>
    <row r="139" spans="1:4" x14ac:dyDescent="0.3">
      <c r="A139" t="str">
        <f>[1]Customer_Data!A138</f>
        <v>C0137</v>
      </c>
      <c r="B139">
        <f>[1]Customer_Data!J138</f>
        <v>20</v>
      </c>
      <c r="C139">
        <f>[1]Customer_Data!K138</f>
        <v>4</v>
      </c>
      <c r="D139">
        <f>[1]Customer_Data!M138</f>
        <v>27078</v>
      </c>
    </row>
    <row r="140" spans="1:4" x14ac:dyDescent="0.3">
      <c r="A140" t="str">
        <f>[1]Customer_Data!A139</f>
        <v>C0138</v>
      </c>
      <c r="B140">
        <f>[1]Customer_Data!J139</f>
        <v>19</v>
      </c>
      <c r="C140">
        <f>[1]Customer_Data!K139</f>
        <v>6</v>
      </c>
      <c r="D140">
        <f>[1]Customer_Data!M139</f>
        <v>12921</v>
      </c>
    </row>
    <row r="141" spans="1:4" x14ac:dyDescent="0.3">
      <c r="A141" t="str">
        <f>[1]Customer_Data!A140</f>
        <v>C0139</v>
      </c>
      <c r="B141">
        <f>[1]Customer_Data!J140</f>
        <v>62</v>
      </c>
      <c r="C141">
        <f>[1]Customer_Data!K140</f>
        <v>6</v>
      </c>
      <c r="D141">
        <f>[1]Customer_Data!M140</f>
        <v>18745</v>
      </c>
    </row>
    <row r="142" spans="1:4" x14ac:dyDescent="0.3">
      <c r="A142" t="str">
        <f>[1]Customer_Data!A141</f>
        <v>C0140</v>
      </c>
      <c r="B142">
        <f>[1]Customer_Data!J141</f>
        <v>56</v>
      </c>
      <c r="C142">
        <f>[1]Customer_Data!K141</f>
        <v>4</v>
      </c>
      <c r="D142">
        <f>[1]Customer_Data!M141</f>
        <v>16279</v>
      </c>
    </row>
    <row r="143" spans="1:4" x14ac:dyDescent="0.3">
      <c r="A143" t="str">
        <f>[1]Customer_Data!A142</f>
        <v>C0141</v>
      </c>
      <c r="B143">
        <f>[1]Customer_Data!J142</f>
        <v>26</v>
      </c>
      <c r="C143">
        <f>[1]Customer_Data!K142</f>
        <v>3</v>
      </c>
      <c r="D143">
        <f>[1]Customer_Data!M142</f>
        <v>4036</v>
      </c>
    </row>
    <row r="144" spans="1:4" x14ac:dyDescent="0.3">
      <c r="A144" t="str">
        <f>[1]Customer_Data!A143</f>
        <v>C0142</v>
      </c>
      <c r="B144">
        <f>[1]Customer_Data!J143</f>
        <v>19</v>
      </c>
      <c r="C144">
        <f>[1]Customer_Data!K143</f>
        <v>3</v>
      </c>
      <c r="D144">
        <f>[1]Customer_Data!M143</f>
        <v>54268</v>
      </c>
    </row>
    <row r="145" spans="1:4" x14ac:dyDescent="0.3">
      <c r="A145" t="str">
        <f>[1]Customer_Data!A144</f>
        <v>C0143</v>
      </c>
      <c r="B145">
        <f>[1]Customer_Data!J144</f>
        <v>2</v>
      </c>
      <c r="C145">
        <f>[1]Customer_Data!K144</f>
        <v>4</v>
      </c>
      <c r="D145">
        <f>[1]Customer_Data!M144</f>
        <v>9765</v>
      </c>
    </row>
    <row r="146" spans="1:4" x14ac:dyDescent="0.3">
      <c r="A146" t="str">
        <f>[1]Customer_Data!A145</f>
        <v>C0144</v>
      </c>
      <c r="B146">
        <f>[1]Customer_Data!J145</f>
        <v>2</v>
      </c>
      <c r="C146">
        <f>[1]Customer_Data!K145</f>
        <v>5</v>
      </c>
      <c r="D146">
        <f>[1]Customer_Data!M145</f>
        <v>40715</v>
      </c>
    </row>
    <row r="147" spans="1:4" x14ac:dyDescent="0.3">
      <c r="A147" t="str">
        <f>[1]Customer_Data!A146</f>
        <v>C0145</v>
      </c>
      <c r="B147">
        <f>[1]Customer_Data!J146</f>
        <v>34</v>
      </c>
      <c r="C147">
        <f>[1]Customer_Data!K146</f>
        <v>6</v>
      </c>
      <c r="D147">
        <f>[1]Customer_Data!M146</f>
        <v>31044</v>
      </c>
    </row>
    <row r="148" spans="1:4" x14ac:dyDescent="0.3">
      <c r="A148" t="str">
        <f>[1]Customer_Data!A147</f>
        <v>C0146</v>
      </c>
      <c r="B148">
        <f>[1]Customer_Data!J147</f>
        <v>2</v>
      </c>
      <c r="C148">
        <f>[1]Customer_Data!K147</f>
        <v>5</v>
      </c>
      <c r="D148">
        <f>[1]Customer_Data!M147</f>
        <v>26397</v>
      </c>
    </row>
    <row r="149" spans="1:4" x14ac:dyDescent="0.3">
      <c r="A149" t="str">
        <f>[1]Customer_Data!A148</f>
        <v>C0147</v>
      </c>
      <c r="B149">
        <f>[1]Customer_Data!J148</f>
        <v>2</v>
      </c>
      <c r="C149">
        <f>[1]Customer_Data!K148</f>
        <v>6</v>
      </c>
      <c r="D149">
        <f>[1]Customer_Data!M148</f>
        <v>25244</v>
      </c>
    </row>
    <row r="150" spans="1:4" x14ac:dyDescent="0.3">
      <c r="A150" t="str">
        <f>[1]Customer_Data!A149</f>
        <v>C0148</v>
      </c>
      <c r="B150">
        <f>[1]Customer_Data!J149</f>
        <v>52</v>
      </c>
      <c r="C150">
        <f>[1]Customer_Data!K149</f>
        <v>4</v>
      </c>
      <c r="D150">
        <f>[1]Customer_Data!M149</f>
        <v>23823</v>
      </c>
    </row>
    <row r="151" spans="1:4" x14ac:dyDescent="0.3">
      <c r="A151" t="str">
        <f>[1]Customer_Data!A150</f>
        <v>C0149</v>
      </c>
      <c r="B151">
        <f>[1]Customer_Data!J150</f>
        <v>2</v>
      </c>
      <c r="C151">
        <f>[1]Customer_Data!K150</f>
        <v>3</v>
      </c>
      <c r="D151">
        <f>[1]Customer_Data!M150</f>
        <v>17139</v>
      </c>
    </row>
    <row r="152" spans="1:4" x14ac:dyDescent="0.3">
      <c r="A152" t="str">
        <f>[1]Customer_Data!A151</f>
        <v>C0150</v>
      </c>
      <c r="B152">
        <f>[1]Customer_Data!J151</f>
        <v>25</v>
      </c>
      <c r="C152">
        <f>[1]Customer_Data!K151</f>
        <v>3</v>
      </c>
      <c r="D152">
        <f>[1]Customer_Data!M151</f>
        <v>10570</v>
      </c>
    </row>
    <row r="153" spans="1:4" x14ac:dyDescent="0.3">
      <c r="A153" t="str">
        <f>[1]Customer_Data!A152</f>
        <v>C0151</v>
      </c>
      <c r="B153">
        <f>[1]Customer_Data!J152</f>
        <v>2</v>
      </c>
      <c r="C153">
        <f>[1]Customer_Data!K152</f>
        <v>4</v>
      </c>
      <c r="D153">
        <f>[1]Customer_Data!M152</f>
        <v>16374</v>
      </c>
    </row>
    <row r="154" spans="1:4" x14ac:dyDescent="0.3">
      <c r="A154" t="str">
        <f>[1]Customer_Data!A153</f>
        <v>C0152</v>
      </c>
      <c r="B154">
        <f>[1]Customer_Data!J153</f>
        <v>22</v>
      </c>
      <c r="C154">
        <f>[1]Customer_Data!K153</f>
        <v>4</v>
      </c>
      <c r="D154">
        <f>[1]Customer_Data!M153</f>
        <v>28858</v>
      </c>
    </row>
    <row r="155" spans="1:4" x14ac:dyDescent="0.3">
      <c r="A155" t="str">
        <f>[1]Customer_Data!A154</f>
        <v>C0153</v>
      </c>
      <c r="B155">
        <f>[1]Customer_Data!J154</f>
        <v>59</v>
      </c>
      <c r="C155">
        <f>[1]Customer_Data!K154</f>
        <v>4</v>
      </c>
      <c r="D155">
        <f>[1]Customer_Data!M154</f>
        <v>62397</v>
      </c>
    </row>
    <row r="156" spans="1:4" x14ac:dyDescent="0.3">
      <c r="A156" t="str">
        <f>[1]Customer_Data!A155</f>
        <v>C0154</v>
      </c>
      <c r="B156">
        <f>[1]Customer_Data!J155</f>
        <v>37</v>
      </c>
      <c r="C156">
        <f>[1]Customer_Data!K155</f>
        <v>6</v>
      </c>
      <c r="D156">
        <f>[1]Customer_Data!M155</f>
        <v>13378</v>
      </c>
    </row>
    <row r="157" spans="1:4" x14ac:dyDescent="0.3">
      <c r="A157" t="str">
        <f>[1]Customer_Data!A156</f>
        <v>C0155</v>
      </c>
      <c r="B157">
        <f>[1]Customer_Data!J156</f>
        <v>2</v>
      </c>
      <c r="C157">
        <f>[1]Customer_Data!K156</f>
        <v>8</v>
      </c>
      <c r="D157">
        <f>[1]Customer_Data!M156</f>
        <v>30552</v>
      </c>
    </row>
    <row r="158" spans="1:4" x14ac:dyDescent="0.3">
      <c r="A158" t="str">
        <f>[1]Customer_Data!A157</f>
        <v>C0156</v>
      </c>
      <c r="B158">
        <f>[1]Customer_Data!J157</f>
        <v>31</v>
      </c>
      <c r="C158">
        <f>[1]Customer_Data!K157</f>
        <v>6</v>
      </c>
      <c r="D158">
        <f>[1]Customer_Data!M157</f>
        <v>66845</v>
      </c>
    </row>
    <row r="159" spans="1:4" x14ac:dyDescent="0.3">
      <c r="A159" t="str">
        <f>[1]Customer_Data!A158</f>
        <v>C0157</v>
      </c>
      <c r="B159">
        <f>[1]Customer_Data!J158</f>
        <v>40</v>
      </c>
      <c r="C159">
        <f>[1]Customer_Data!K158</f>
        <v>8</v>
      </c>
      <c r="D159">
        <f>[1]Customer_Data!M158</f>
        <v>47182</v>
      </c>
    </row>
    <row r="160" spans="1:4" x14ac:dyDescent="0.3">
      <c r="A160" t="str">
        <f>[1]Customer_Data!A159</f>
        <v>C0158</v>
      </c>
      <c r="B160">
        <f>[1]Customer_Data!J159</f>
        <v>2</v>
      </c>
      <c r="C160">
        <f>[1]Customer_Data!K159</f>
        <v>5</v>
      </c>
      <c r="D160">
        <f>[1]Customer_Data!M159</f>
        <v>13936</v>
      </c>
    </row>
    <row r="161" spans="1:4" x14ac:dyDescent="0.3">
      <c r="A161" t="str">
        <f>[1]Customer_Data!A160</f>
        <v>C0159</v>
      </c>
      <c r="B161">
        <f>[1]Customer_Data!J160</f>
        <v>34</v>
      </c>
      <c r="C161">
        <f>[1]Customer_Data!K160</f>
        <v>5</v>
      </c>
      <c r="D161">
        <f>[1]Customer_Data!M160</f>
        <v>45915</v>
      </c>
    </row>
    <row r="162" spans="1:4" x14ac:dyDescent="0.3">
      <c r="A162" t="str">
        <f>[1]Customer_Data!A161</f>
        <v>C0160</v>
      </c>
      <c r="B162">
        <f>[1]Customer_Data!J161</f>
        <v>45</v>
      </c>
      <c r="C162">
        <f>[1]Customer_Data!K161</f>
        <v>5</v>
      </c>
      <c r="D162">
        <f>[1]Customer_Data!M161</f>
        <v>15878</v>
      </c>
    </row>
    <row r="163" spans="1:4" x14ac:dyDescent="0.3">
      <c r="A163" t="str">
        <f>[1]Customer_Data!A162</f>
        <v>C0161</v>
      </c>
      <c r="B163">
        <f>[1]Customer_Data!J162</f>
        <v>63</v>
      </c>
      <c r="C163">
        <f>[1]Customer_Data!K162</f>
        <v>3</v>
      </c>
      <c r="D163">
        <f>[1]Customer_Data!M162</f>
        <v>17768</v>
      </c>
    </row>
    <row r="164" spans="1:4" x14ac:dyDescent="0.3">
      <c r="A164" t="str">
        <f>[1]Customer_Data!A163</f>
        <v>C0162</v>
      </c>
      <c r="B164">
        <f>[1]Customer_Data!J163</f>
        <v>48</v>
      </c>
      <c r="C164">
        <f>[1]Customer_Data!K163</f>
        <v>5</v>
      </c>
      <c r="D164">
        <f>[1]Customer_Data!M163</f>
        <v>8897</v>
      </c>
    </row>
    <row r="165" spans="1:4" x14ac:dyDescent="0.3">
      <c r="A165" t="str">
        <f>[1]Customer_Data!A164</f>
        <v>C0163</v>
      </c>
      <c r="B165">
        <f>[1]Customer_Data!J164</f>
        <v>24</v>
      </c>
      <c r="C165">
        <f>[1]Customer_Data!K164</f>
        <v>9</v>
      </c>
      <c r="D165">
        <f>[1]Customer_Data!M164</f>
        <v>69218</v>
      </c>
    </row>
    <row r="166" spans="1:4" x14ac:dyDescent="0.3">
      <c r="A166" t="str">
        <f>[1]Customer_Data!A165</f>
        <v>C0164</v>
      </c>
      <c r="B166">
        <f>[1]Customer_Data!J165</f>
        <v>25</v>
      </c>
      <c r="C166">
        <f>[1]Customer_Data!K165</f>
        <v>4</v>
      </c>
      <c r="D166">
        <f>[1]Customer_Data!M165</f>
        <v>17183</v>
      </c>
    </row>
    <row r="167" spans="1:4" x14ac:dyDescent="0.3">
      <c r="A167" t="str">
        <f>[1]Customer_Data!A166</f>
        <v>C0165</v>
      </c>
      <c r="B167">
        <f>[1]Customer_Data!J166</f>
        <v>41</v>
      </c>
      <c r="C167">
        <f>[1]Customer_Data!K166</f>
        <v>7</v>
      </c>
      <c r="D167">
        <f>[1]Customer_Data!M166</f>
        <v>114874</v>
      </c>
    </row>
    <row r="168" spans="1:4" x14ac:dyDescent="0.3">
      <c r="A168" t="str">
        <f>[1]Customer_Data!A167</f>
        <v>C0166</v>
      </c>
      <c r="B168">
        <f>[1]Customer_Data!J167</f>
        <v>43</v>
      </c>
      <c r="C168">
        <f>[1]Customer_Data!K167</f>
        <v>6</v>
      </c>
      <c r="D168">
        <f>[1]Customer_Data!M167</f>
        <v>22869</v>
      </c>
    </row>
    <row r="169" spans="1:4" x14ac:dyDescent="0.3">
      <c r="A169" t="str">
        <f>[1]Customer_Data!A168</f>
        <v>C0167</v>
      </c>
      <c r="B169">
        <f>[1]Customer_Data!J168</f>
        <v>43</v>
      </c>
      <c r="C169">
        <f>[1]Customer_Data!K168</f>
        <v>7</v>
      </c>
      <c r="D169">
        <f>[1]Customer_Data!M168</f>
        <v>96159</v>
      </c>
    </row>
    <row r="170" spans="1:4" x14ac:dyDescent="0.3">
      <c r="A170" t="str">
        <f>[1]Customer_Data!A169</f>
        <v>C0168</v>
      </c>
      <c r="B170">
        <f>[1]Customer_Data!J169</f>
        <v>22</v>
      </c>
      <c r="C170">
        <f>[1]Customer_Data!K169</f>
        <v>4</v>
      </c>
      <c r="D170">
        <f>[1]Customer_Data!M169</f>
        <v>73410</v>
      </c>
    </row>
    <row r="171" spans="1:4" x14ac:dyDescent="0.3">
      <c r="A171" t="str">
        <f>[1]Customer_Data!A170</f>
        <v>C0169</v>
      </c>
      <c r="B171">
        <f>[1]Customer_Data!J170</f>
        <v>31</v>
      </c>
      <c r="C171">
        <f>[1]Customer_Data!K170</f>
        <v>7</v>
      </c>
      <c r="D171">
        <f>[1]Customer_Data!M170</f>
        <v>53003</v>
      </c>
    </row>
    <row r="172" spans="1:4" x14ac:dyDescent="0.3">
      <c r="A172" t="str">
        <f>[1]Customer_Data!A171</f>
        <v>C0170</v>
      </c>
      <c r="B172">
        <f>[1]Customer_Data!J171</f>
        <v>2</v>
      </c>
      <c r="C172">
        <f>[1]Customer_Data!K171</f>
        <v>3</v>
      </c>
      <c r="D172">
        <f>[1]Customer_Data!M171</f>
        <v>7849</v>
      </c>
    </row>
    <row r="173" spans="1:4" x14ac:dyDescent="0.3">
      <c r="A173" t="str">
        <f>[1]Customer_Data!A172</f>
        <v>C0171</v>
      </c>
      <c r="B173">
        <f>[1]Customer_Data!J172</f>
        <v>75</v>
      </c>
      <c r="C173">
        <f>[1]Customer_Data!K172</f>
        <v>4</v>
      </c>
      <c r="D173">
        <f>[1]Customer_Data!M172</f>
        <v>17207</v>
      </c>
    </row>
    <row r="174" spans="1:4" x14ac:dyDescent="0.3">
      <c r="A174" t="str">
        <f>[1]Customer_Data!A173</f>
        <v>C0172</v>
      </c>
      <c r="B174">
        <f>[1]Customer_Data!J173</f>
        <v>42</v>
      </c>
      <c r="C174">
        <f>[1]Customer_Data!K173</f>
        <v>7</v>
      </c>
      <c r="D174">
        <f>[1]Customer_Data!M173</f>
        <v>46686</v>
      </c>
    </row>
    <row r="175" spans="1:4" x14ac:dyDescent="0.3">
      <c r="A175" t="str">
        <f>[1]Customer_Data!A174</f>
        <v>C0173</v>
      </c>
      <c r="B175">
        <f>[1]Customer_Data!J174</f>
        <v>7</v>
      </c>
      <c r="C175">
        <f>[1]Customer_Data!K174</f>
        <v>5</v>
      </c>
      <c r="D175">
        <f>[1]Customer_Data!M174</f>
        <v>79187</v>
      </c>
    </row>
    <row r="176" spans="1:4" x14ac:dyDescent="0.3">
      <c r="A176" t="str">
        <f>[1]Customer_Data!A175</f>
        <v>C0174</v>
      </c>
      <c r="B176">
        <f>[1]Customer_Data!J175</f>
        <v>31</v>
      </c>
      <c r="C176">
        <f>[1]Customer_Data!K175</f>
        <v>2</v>
      </c>
      <c r="D176">
        <f>[1]Customer_Data!M175</f>
        <v>8562</v>
      </c>
    </row>
    <row r="177" spans="1:4" x14ac:dyDescent="0.3">
      <c r="A177" t="str">
        <f>[1]Customer_Data!A176</f>
        <v>C0175</v>
      </c>
      <c r="B177">
        <f>[1]Customer_Data!J176</f>
        <v>8</v>
      </c>
      <c r="C177">
        <f>[1]Customer_Data!K176</f>
        <v>5</v>
      </c>
      <c r="D177">
        <f>[1]Customer_Data!M176</f>
        <v>21511</v>
      </c>
    </row>
    <row r="178" spans="1:4" x14ac:dyDescent="0.3">
      <c r="A178" t="str">
        <f>[1]Customer_Data!A177</f>
        <v>C0176</v>
      </c>
      <c r="B178">
        <f>[1]Customer_Data!J177</f>
        <v>78</v>
      </c>
      <c r="C178">
        <f>[1]Customer_Data!K177</f>
        <v>3</v>
      </c>
      <c r="D178">
        <f>[1]Customer_Data!M177</f>
        <v>19673</v>
      </c>
    </row>
    <row r="179" spans="1:4" x14ac:dyDescent="0.3">
      <c r="A179" t="str">
        <f>[1]Customer_Data!A178</f>
        <v>C0177</v>
      </c>
      <c r="B179">
        <f>[1]Customer_Data!J178</f>
        <v>2</v>
      </c>
      <c r="C179">
        <f>[1]Customer_Data!K178</f>
        <v>3</v>
      </c>
      <c r="D179">
        <f>[1]Customer_Data!M178</f>
        <v>51472</v>
      </c>
    </row>
    <row r="180" spans="1:4" x14ac:dyDescent="0.3">
      <c r="A180" t="str">
        <f>[1]Customer_Data!A179</f>
        <v>C0178</v>
      </c>
      <c r="B180">
        <f>[1]Customer_Data!J179</f>
        <v>60</v>
      </c>
      <c r="C180">
        <f>[1]Customer_Data!K179</f>
        <v>4</v>
      </c>
      <c r="D180">
        <f>[1]Customer_Data!M179</f>
        <v>18187</v>
      </c>
    </row>
    <row r="181" spans="1:4" x14ac:dyDescent="0.3">
      <c r="A181" t="str">
        <f>[1]Customer_Data!A180</f>
        <v>C0179</v>
      </c>
      <c r="B181">
        <f>[1]Customer_Data!J180</f>
        <v>48</v>
      </c>
      <c r="C181">
        <f>[1]Customer_Data!K180</f>
        <v>3</v>
      </c>
      <c r="D181">
        <f>[1]Customer_Data!M180</f>
        <v>14405</v>
      </c>
    </row>
    <row r="182" spans="1:4" x14ac:dyDescent="0.3">
      <c r="A182" t="str">
        <f>[1]Customer_Data!A181</f>
        <v>C0180</v>
      </c>
      <c r="B182">
        <f>[1]Customer_Data!J181</f>
        <v>12</v>
      </c>
      <c r="C182">
        <f>[1]Customer_Data!K181</f>
        <v>6</v>
      </c>
      <c r="D182">
        <f>[1]Customer_Data!M181</f>
        <v>33320</v>
      </c>
    </row>
    <row r="183" spans="1:4" x14ac:dyDescent="0.3">
      <c r="A183" t="str">
        <f>[1]Customer_Data!A182</f>
        <v>C0181</v>
      </c>
      <c r="B183">
        <f>[1]Customer_Data!J182</f>
        <v>35</v>
      </c>
      <c r="C183">
        <f>[1]Customer_Data!K182</f>
        <v>6</v>
      </c>
      <c r="D183">
        <f>[1]Customer_Data!M182</f>
        <v>113687</v>
      </c>
    </row>
    <row r="184" spans="1:4" x14ac:dyDescent="0.3">
      <c r="A184" t="str">
        <f>[1]Customer_Data!A183</f>
        <v>C0182</v>
      </c>
      <c r="B184">
        <f>[1]Customer_Data!J183</f>
        <v>2</v>
      </c>
      <c r="C184">
        <f>[1]Customer_Data!K183</f>
        <v>5</v>
      </c>
      <c r="D184">
        <f>[1]Customer_Data!M183</f>
        <v>26196</v>
      </c>
    </row>
    <row r="185" spans="1:4" x14ac:dyDescent="0.3">
      <c r="A185" t="str">
        <f>[1]Customer_Data!A184</f>
        <v>C0183</v>
      </c>
      <c r="B185">
        <f>[1]Customer_Data!J184</f>
        <v>24</v>
      </c>
      <c r="C185">
        <f>[1]Customer_Data!K184</f>
        <v>5</v>
      </c>
      <c r="D185">
        <f>[1]Customer_Data!M184</f>
        <v>106920</v>
      </c>
    </row>
    <row r="186" spans="1:4" x14ac:dyDescent="0.3">
      <c r="A186" t="str">
        <f>[1]Customer_Data!A185</f>
        <v>C0184</v>
      </c>
      <c r="B186">
        <f>[1]Customer_Data!J185</f>
        <v>28</v>
      </c>
      <c r="C186">
        <f>[1]Customer_Data!K185</f>
        <v>3</v>
      </c>
      <c r="D186">
        <f>[1]Customer_Data!M185</f>
        <v>6114</v>
      </c>
    </row>
    <row r="187" spans="1:4" x14ac:dyDescent="0.3">
      <c r="A187" t="str">
        <f>[1]Customer_Data!A186</f>
        <v>C0185</v>
      </c>
      <c r="B187">
        <f>[1]Customer_Data!J186</f>
        <v>11</v>
      </c>
      <c r="C187">
        <f>[1]Customer_Data!K186</f>
        <v>3</v>
      </c>
      <c r="D187">
        <f>[1]Customer_Data!M186</f>
        <v>6023</v>
      </c>
    </row>
    <row r="188" spans="1:4" x14ac:dyDescent="0.3">
      <c r="A188" t="str">
        <f>[1]Customer_Data!A187</f>
        <v>C0186</v>
      </c>
      <c r="B188">
        <f>[1]Customer_Data!J187</f>
        <v>42</v>
      </c>
      <c r="C188">
        <f>[1]Customer_Data!K187</f>
        <v>4</v>
      </c>
      <c r="D188">
        <f>[1]Customer_Data!M187</f>
        <v>25120</v>
      </c>
    </row>
    <row r="189" spans="1:4" x14ac:dyDescent="0.3">
      <c r="A189" t="str">
        <f>[1]Customer_Data!A188</f>
        <v>C0187</v>
      </c>
      <c r="B189">
        <f>[1]Customer_Data!J188</f>
        <v>10</v>
      </c>
      <c r="C189">
        <f>[1]Customer_Data!K188</f>
        <v>5</v>
      </c>
      <c r="D189">
        <f>[1]Customer_Data!M188</f>
        <v>38198</v>
      </c>
    </row>
    <row r="190" spans="1:4" x14ac:dyDescent="0.3">
      <c r="A190" t="str">
        <f>[1]Customer_Data!A189</f>
        <v>C0188</v>
      </c>
      <c r="B190">
        <f>[1]Customer_Data!J189</f>
        <v>29</v>
      </c>
      <c r="C190">
        <f>[1]Customer_Data!K189</f>
        <v>3</v>
      </c>
      <c r="D190">
        <f>[1]Customer_Data!M189</f>
        <v>31992</v>
      </c>
    </row>
    <row r="191" spans="1:4" x14ac:dyDescent="0.3">
      <c r="A191" t="str">
        <f>[1]Customer_Data!A190</f>
        <v>C0189</v>
      </c>
      <c r="B191">
        <f>[1]Customer_Data!J190</f>
        <v>17</v>
      </c>
      <c r="C191">
        <f>[1]Customer_Data!K190</f>
        <v>6</v>
      </c>
      <c r="D191">
        <f>[1]Customer_Data!M190</f>
        <v>40378</v>
      </c>
    </row>
    <row r="192" spans="1:4" x14ac:dyDescent="0.3">
      <c r="A192" t="str">
        <f>[1]Customer_Data!A191</f>
        <v>C0190</v>
      </c>
      <c r="B192">
        <f>[1]Customer_Data!J191</f>
        <v>29</v>
      </c>
      <c r="C192">
        <f>[1]Customer_Data!K191</f>
        <v>2</v>
      </c>
      <c r="D192">
        <f>[1]Customer_Data!M191</f>
        <v>4110</v>
      </c>
    </row>
    <row r="193" spans="1:4" x14ac:dyDescent="0.3">
      <c r="A193" t="str">
        <f>[1]Customer_Data!A192</f>
        <v>C0191</v>
      </c>
      <c r="B193">
        <f>[1]Customer_Data!J192</f>
        <v>33</v>
      </c>
      <c r="C193">
        <f>[1]Customer_Data!K192</f>
        <v>5</v>
      </c>
      <c r="D193">
        <f>[1]Customer_Data!M192</f>
        <v>10354</v>
      </c>
    </row>
    <row r="194" spans="1:4" x14ac:dyDescent="0.3">
      <c r="A194" t="str">
        <f>[1]Customer_Data!A193</f>
        <v>C0192</v>
      </c>
      <c r="B194">
        <f>[1]Customer_Data!J193</f>
        <v>2</v>
      </c>
      <c r="C194">
        <f>[1]Customer_Data!K193</f>
        <v>3</v>
      </c>
      <c r="D194">
        <f>[1]Customer_Data!M193</f>
        <v>5488</v>
      </c>
    </row>
    <row r="195" spans="1:4" x14ac:dyDescent="0.3">
      <c r="A195" t="str">
        <f>[1]Customer_Data!A194</f>
        <v>C0193</v>
      </c>
      <c r="B195">
        <f>[1]Customer_Data!J194</f>
        <v>8</v>
      </c>
      <c r="C195">
        <f>[1]Customer_Data!K194</f>
        <v>3</v>
      </c>
      <c r="D195">
        <f>[1]Customer_Data!M194</f>
        <v>4724</v>
      </c>
    </row>
    <row r="196" spans="1:4" x14ac:dyDescent="0.3">
      <c r="A196" t="str">
        <f>[1]Customer_Data!A195</f>
        <v>C0194</v>
      </c>
      <c r="B196">
        <f>[1]Customer_Data!J195</f>
        <v>65</v>
      </c>
      <c r="C196">
        <f>[1]Customer_Data!K195</f>
        <v>8</v>
      </c>
      <c r="D196">
        <f>[1]Customer_Data!M195</f>
        <v>76230</v>
      </c>
    </row>
    <row r="197" spans="1:4" x14ac:dyDescent="0.3">
      <c r="A197" t="str">
        <f>[1]Customer_Data!A196</f>
        <v>C0195</v>
      </c>
      <c r="B197">
        <f>[1]Customer_Data!J196</f>
        <v>16</v>
      </c>
      <c r="C197">
        <f>[1]Customer_Data!K196</f>
        <v>9</v>
      </c>
      <c r="D197">
        <f>[1]Customer_Data!M196</f>
        <v>26641</v>
      </c>
    </row>
    <row r="198" spans="1:4" x14ac:dyDescent="0.3">
      <c r="A198" t="str">
        <f>[1]Customer_Data!A197</f>
        <v>C0196</v>
      </c>
      <c r="B198">
        <f>[1]Customer_Data!J197</f>
        <v>59</v>
      </c>
      <c r="C198">
        <f>[1]Customer_Data!K197</f>
        <v>2</v>
      </c>
      <c r="D198">
        <f>[1]Customer_Data!M197</f>
        <v>28555</v>
      </c>
    </row>
    <row r="199" spans="1:4" x14ac:dyDescent="0.3">
      <c r="A199" t="str">
        <f>[1]Customer_Data!A198</f>
        <v>C0197</v>
      </c>
      <c r="B199">
        <f>[1]Customer_Data!J198</f>
        <v>33</v>
      </c>
      <c r="C199">
        <f>[1]Customer_Data!K198</f>
        <v>4</v>
      </c>
      <c r="D199">
        <f>[1]Customer_Data!M198</f>
        <v>10567</v>
      </c>
    </row>
    <row r="200" spans="1:4" x14ac:dyDescent="0.3">
      <c r="A200" t="str">
        <f>[1]Customer_Data!A199</f>
        <v>C0198</v>
      </c>
      <c r="B200">
        <f>[1]Customer_Data!J199</f>
        <v>29</v>
      </c>
      <c r="C200">
        <f>[1]Customer_Data!K199</f>
        <v>6</v>
      </c>
      <c r="D200">
        <f>[1]Customer_Data!M199</f>
        <v>27995</v>
      </c>
    </row>
    <row r="201" spans="1:4" x14ac:dyDescent="0.3">
      <c r="A201" t="str">
        <f>[1]Customer_Data!A200</f>
        <v>C0199</v>
      </c>
      <c r="B201">
        <f>[1]Customer_Data!J200</f>
        <v>77</v>
      </c>
      <c r="C201">
        <f>[1]Customer_Data!K200</f>
        <v>5</v>
      </c>
      <c r="D201">
        <f>[1]Customer_Data!M200</f>
        <v>16355</v>
      </c>
    </row>
    <row r="202" spans="1:4" x14ac:dyDescent="0.3">
      <c r="A202" t="str">
        <f>[1]Customer_Data!A201</f>
        <v>C0200</v>
      </c>
      <c r="B202">
        <f>[1]Customer_Data!J201</f>
        <v>33</v>
      </c>
      <c r="C202">
        <f>[1]Customer_Data!K201</f>
        <v>4</v>
      </c>
      <c r="D202">
        <f>[1]Customer_Data!M201</f>
        <v>10485</v>
      </c>
    </row>
    <row r="203" spans="1:4" x14ac:dyDescent="0.3">
      <c r="A203" t="str">
        <f>[1]Customer_Data!A202</f>
        <v>C0201</v>
      </c>
      <c r="B203">
        <f>[1]Customer_Data!J202</f>
        <v>10</v>
      </c>
      <c r="C203">
        <f>[1]Customer_Data!K202</f>
        <v>5</v>
      </c>
      <c r="D203">
        <f>[1]Customer_Data!M202</f>
        <v>32922</v>
      </c>
    </row>
    <row r="204" spans="1:4" x14ac:dyDescent="0.3">
      <c r="A204" t="str">
        <f>[1]Customer_Data!A203</f>
        <v>C0202</v>
      </c>
      <c r="B204">
        <f>[1]Customer_Data!J203</f>
        <v>47</v>
      </c>
      <c r="C204">
        <f>[1]Customer_Data!K203</f>
        <v>4</v>
      </c>
      <c r="D204">
        <f>[1]Customer_Data!M203</f>
        <v>57475</v>
      </c>
    </row>
    <row r="205" spans="1:4" x14ac:dyDescent="0.3">
      <c r="A205" t="str">
        <f>[1]Customer_Data!A204</f>
        <v>C0203</v>
      </c>
      <c r="B205">
        <f>[1]Customer_Data!J204</f>
        <v>2</v>
      </c>
      <c r="C205">
        <f>[1]Customer_Data!K204</f>
        <v>4</v>
      </c>
      <c r="D205">
        <f>[1]Customer_Data!M204</f>
        <v>9979</v>
      </c>
    </row>
    <row r="206" spans="1:4" x14ac:dyDescent="0.3">
      <c r="A206" t="str">
        <f>[1]Customer_Data!A205</f>
        <v>C0204</v>
      </c>
      <c r="B206">
        <f>[1]Customer_Data!J205</f>
        <v>35</v>
      </c>
      <c r="C206">
        <f>[1]Customer_Data!K205</f>
        <v>6</v>
      </c>
      <c r="D206">
        <f>[1]Customer_Data!M205</f>
        <v>11508</v>
      </c>
    </row>
    <row r="207" spans="1:4" x14ac:dyDescent="0.3">
      <c r="A207" t="str">
        <f>[1]Customer_Data!A206</f>
        <v>C0205</v>
      </c>
      <c r="B207">
        <f>[1]Customer_Data!J206</f>
        <v>44</v>
      </c>
      <c r="C207">
        <f>[1]Customer_Data!K206</f>
        <v>1</v>
      </c>
      <c r="D207">
        <f>[1]Customer_Data!M206</f>
        <v>3803</v>
      </c>
    </row>
    <row r="208" spans="1:4" x14ac:dyDescent="0.3">
      <c r="A208" t="str">
        <f>[1]Customer_Data!A207</f>
        <v>C0206</v>
      </c>
      <c r="B208">
        <f>[1]Customer_Data!J207</f>
        <v>26</v>
      </c>
      <c r="C208">
        <f>[1]Customer_Data!K207</f>
        <v>6</v>
      </c>
      <c r="D208">
        <f>[1]Customer_Data!M207</f>
        <v>34659</v>
      </c>
    </row>
    <row r="209" spans="1:4" x14ac:dyDescent="0.3">
      <c r="A209" t="str">
        <f>[1]Customer_Data!A208</f>
        <v>C0207</v>
      </c>
      <c r="B209">
        <f>[1]Customer_Data!J208</f>
        <v>7</v>
      </c>
      <c r="C209">
        <f>[1]Customer_Data!K208</f>
        <v>6</v>
      </c>
      <c r="D209">
        <f>[1]Customer_Data!M208</f>
        <v>38284</v>
      </c>
    </row>
    <row r="210" spans="1:4" x14ac:dyDescent="0.3">
      <c r="A210" t="str">
        <f>[1]Customer_Data!A209</f>
        <v>C0208</v>
      </c>
      <c r="B210">
        <f>[1]Customer_Data!J209</f>
        <v>57</v>
      </c>
      <c r="C210">
        <f>[1]Customer_Data!K209</f>
        <v>4</v>
      </c>
      <c r="D210">
        <f>[1]Customer_Data!M209</f>
        <v>29059</v>
      </c>
    </row>
    <row r="211" spans="1:4" x14ac:dyDescent="0.3">
      <c r="A211" t="str">
        <f>[1]Customer_Data!A210</f>
        <v>C0209</v>
      </c>
      <c r="B211">
        <f>[1]Customer_Data!J210</f>
        <v>2</v>
      </c>
      <c r="C211">
        <f>[1]Customer_Data!K210</f>
        <v>6</v>
      </c>
      <c r="D211">
        <f>[1]Customer_Data!M210</f>
        <v>22978</v>
      </c>
    </row>
    <row r="212" spans="1:4" x14ac:dyDescent="0.3">
      <c r="A212" t="str">
        <f>[1]Customer_Data!A211</f>
        <v>C0210</v>
      </c>
      <c r="B212">
        <f>[1]Customer_Data!J211</f>
        <v>63</v>
      </c>
      <c r="C212">
        <f>[1]Customer_Data!K211</f>
        <v>3</v>
      </c>
      <c r="D212">
        <f>[1]Customer_Data!M211</f>
        <v>3620</v>
      </c>
    </row>
    <row r="213" spans="1:4" x14ac:dyDescent="0.3">
      <c r="A213" t="str">
        <f>[1]Customer_Data!A212</f>
        <v>C0211</v>
      </c>
      <c r="B213">
        <f>[1]Customer_Data!J212</f>
        <v>47</v>
      </c>
      <c r="C213">
        <f>[1]Customer_Data!K212</f>
        <v>5</v>
      </c>
      <c r="D213">
        <f>[1]Customer_Data!M212</f>
        <v>19620</v>
      </c>
    </row>
    <row r="214" spans="1:4" x14ac:dyDescent="0.3">
      <c r="A214" t="str">
        <f>[1]Customer_Data!A213</f>
        <v>C0212</v>
      </c>
      <c r="B214">
        <f>[1]Customer_Data!J213</f>
        <v>42</v>
      </c>
      <c r="C214">
        <f>[1]Customer_Data!K213</f>
        <v>2</v>
      </c>
      <c r="D214">
        <f>[1]Customer_Data!M213</f>
        <v>14502</v>
      </c>
    </row>
    <row r="215" spans="1:4" x14ac:dyDescent="0.3">
      <c r="A215" t="str">
        <f>[1]Customer_Data!A214</f>
        <v>C0213</v>
      </c>
      <c r="B215">
        <f>[1]Customer_Data!J214</f>
        <v>2</v>
      </c>
      <c r="C215">
        <f>[1]Customer_Data!K214</f>
        <v>3</v>
      </c>
      <c r="D215">
        <f>[1]Customer_Data!M214</f>
        <v>17976</v>
      </c>
    </row>
    <row r="216" spans="1:4" x14ac:dyDescent="0.3">
      <c r="A216" t="str">
        <f>[1]Customer_Data!A215</f>
        <v>C0214</v>
      </c>
      <c r="B216">
        <f>[1]Customer_Data!J215</f>
        <v>35</v>
      </c>
      <c r="C216">
        <f>[1]Customer_Data!K215</f>
        <v>4</v>
      </c>
      <c r="D216">
        <f>[1]Customer_Data!M215</f>
        <v>3146</v>
      </c>
    </row>
    <row r="217" spans="1:4" x14ac:dyDescent="0.3">
      <c r="A217" t="str">
        <f>[1]Customer_Data!A216</f>
        <v>C0215</v>
      </c>
      <c r="B217">
        <f>[1]Customer_Data!J216</f>
        <v>2</v>
      </c>
      <c r="C217">
        <f>[1]Customer_Data!K216</f>
        <v>3</v>
      </c>
      <c r="D217">
        <f>[1]Customer_Data!M216</f>
        <v>14041</v>
      </c>
    </row>
    <row r="218" spans="1:4" x14ac:dyDescent="0.3">
      <c r="A218" t="str">
        <f>[1]Customer_Data!A217</f>
        <v>C0216</v>
      </c>
      <c r="B218">
        <f>[1]Customer_Data!J217</f>
        <v>2</v>
      </c>
      <c r="C218">
        <f>[1]Customer_Data!K217</f>
        <v>6</v>
      </c>
      <c r="D218">
        <f>[1]Customer_Data!M217</f>
        <v>48180</v>
      </c>
    </row>
    <row r="219" spans="1:4" x14ac:dyDescent="0.3">
      <c r="A219" t="str">
        <f>[1]Customer_Data!A218</f>
        <v>C0217</v>
      </c>
      <c r="B219">
        <f>[1]Customer_Data!J218</f>
        <v>55</v>
      </c>
      <c r="C219">
        <f>[1]Customer_Data!K218</f>
        <v>5</v>
      </c>
      <c r="D219">
        <f>[1]Customer_Data!M218</f>
        <v>4565</v>
      </c>
    </row>
    <row r="220" spans="1:4" x14ac:dyDescent="0.3">
      <c r="A220" t="str">
        <f>[1]Customer_Data!A219</f>
        <v>C0218</v>
      </c>
      <c r="B220">
        <f>[1]Customer_Data!J219</f>
        <v>49</v>
      </c>
      <c r="C220">
        <f>[1]Customer_Data!K219</f>
        <v>6</v>
      </c>
      <c r="D220">
        <f>[1]Customer_Data!M219</f>
        <v>32566</v>
      </c>
    </row>
    <row r="221" spans="1:4" x14ac:dyDescent="0.3">
      <c r="A221" t="str">
        <f>[1]Customer_Data!A220</f>
        <v>C0219</v>
      </c>
      <c r="B221">
        <f>[1]Customer_Data!J220</f>
        <v>4</v>
      </c>
      <c r="C221">
        <f>[1]Customer_Data!K220</f>
        <v>7</v>
      </c>
      <c r="D221">
        <f>[1]Customer_Data!M220</f>
        <v>15569</v>
      </c>
    </row>
    <row r="222" spans="1:4" x14ac:dyDescent="0.3">
      <c r="A222" t="str">
        <f>[1]Customer_Data!A221</f>
        <v>C0220</v>
      </c>
      <c r="B222">
        <f>[1]Customer_Data!J221</f>
        <v>24</v>
      </c>
      <c r="C222">
        <f>[1]Customer_Data!K221</f>
        <v>6</v>
      </c>
      <c r="D222">
        <f>[1]Customer_Data!M221</f>
        <v>62825</v>
      </c>
    </row>
    <row r="223" spans="1:4" x14ac:dyDescent="0.3">
      <c r="A223" t="str">
        <f>[1]Customer_Data!A222</f>
        <v>C0221</v>
      </c>
      <c r="B223">
        <f>[1]Customer_Data!J222</f>
        <v>50</v>
      </c>
      <c r="C223">
        <f>[1]Customer_Data!K222</f>
        <v>2</v>
      </c>
      <c r="D223">
        <f>[1]Customer_Data!M222</f>
        <v>10266</v>
      </c>
    </row>
    <row r="224" spans="1:4" x14ac:dyDescent="0.3">
      <c r="A224" t="str">
        <f>[1]Customer_Data!A223</f>
        <v>C0222</v>
      </c>
      <c r="B224">
        <f>[1]Customer_Data!J223</f>
        <v>55</v>
      </c>
      <c r="C224">
        <f>[1]Customer_Data!K223</f>
        <v>6</v>
      </c>
      <c r="D224">
        <f>[1]Customer_Data!M223</f>
        <v>19194</v>
      </c>
    </row>
    <row r="225" spans="1:4" x14ac:dyDescent="0.3">
      <c r="A225" t="str">
        <f>[1]Customer_Data!A224</f>
        <v>C0223</v>
      </c>
      <c r="B225">
        <f>[1]Customer_Data!J224</f>
        <v>31</v>
      </c>
      <c r="C225">
        <f>[1]Customer_Data!K224</f>
        <v>3</v>
      </c>
      <c r="D225">
        <f>[1]Customer_Data!M224</f>
        <v>2919</v>
      </c>
    </row>
    <row r="226" spans="1:4" x14ac:dyDescent="0.3">
      <c r="A226" t="str">
        <f>[1]Customer_Data!A225</f>
        <v>C0224</v>
      </c>
      <c r="B226">
        <f>[1]Customer_Data!J225</f>
        <v>60</v>
      </c>
      <c r="C226">
        <f>[1]Customer_Data!K225</f>
        <v>4</v>
      </c>
      <c r="D226">
        <f>[1]Customer_Data!M225</f>
        <v>16044</v>
      </c>
    </row>
    <row r="227" spans="1:4" x14ac:dyDescent="0.3">
      <c r="A227" t="str">
        <f>[1]Customer_Data!A226</f>
        <v>C0225</v>
      </c>
      <c r="B227">
        <f>[1]Customer_Data!J226</f>
        <v>3</v>
      </c>
      <c r="C227">
        <f>[1]Customer_Data!K226</f>
        <v>7</v>
      </c>
      <c r="D227">
        <f>[1]Customer_Data!M226</f>
        <v>16328</v>
      </c>
    </row>
    <row r="228" spans="1:4" x14ac:dyDescent="0.3">
      <c r="A228" t="str">
        <f>[1]Customer_Data!A227</f>
        <v>C0226</v>
      </c>
      <c r="B228">
        <f>[1]Customer_Data!J227</f>
        <v>61</v>
      </c>
      <c r="C228">
        <f>[1]Customer_Data!K227</f>
        <v>5</v>
      </c>
      <c r="D228">
        <f>[1]Customer_Data!M227</f>
        <v>29295</v>
      </c>
    </row>
    <row r="229" spans="1:4" x14ac:dyDescent="0.3">
      <c r="A229" t="str">
        <f>[1]Customer_Data!A228</f>
        <v>C0227</v>
      </c>
      <c r="B229">
        <f>[1]Customer_Data!J228</f>
        <v>88</v>
      </c>
      <c r="C229">
        <f>[1]Customer_Data!K228</f>
        <v>3</v>
      </c>
      <c r="D229">
        <f>[1]Customer_Data!M228</f>
        <v>14242</v>
      </c>
    </row>
    <row r="230" spans="1:4" x14ac:dyDescent="0.3">
      <c r="A230" t="str">
        <f>[1]Customer_Data!A229</f>
        <v>C0228</v>
      </c>
      <c r="B230">
        <f>[1]Customer_Data!J229</f>
        <v>13</v>
      </c>
      <c r="C230">
        <f>[1]Customer_Data!K229</f>
        <v>4</v>
      </c>
      <c r="D230">
        <f>[1]Customer_Data!M229</f>
        <v>6829</v>
      </c>
    </row>
    <row r="231" spans="1:4" x14ac:dyDescent="0.3">
      <c r="A231" t="str">
        <f>[1]Customer_Data!A230</f>
        <v>C0229</v>
      </c>
      <c r="B231">
        <f>[1]Customer_Data!J230</f>
        <v>83</v>
      </c>
      <c r="C231">
        <f>[1]Customer_Data!K230</f>
        <v>4</v>
      </c>
      <c r="D231">
        <f>[1]Customer_Data!M230</f>
        <v>51843</v>
      </c>
    </row>
    <row r="232" spans="1:4" x14ac:dyDescent="0.3">
      <c r="A232" t="str">
        <f>[1]Customer_Data!A231</f>
        <v>C0230</v>
      </c>
      <c r="B232">
        <f>[1]Customer_Data!J231</f>
        <v>42</v>
      </c>
      <c r="C232">
        <f>[1]Customer_Data!K231</f>
        <v>4</v>
      </c>
      <c r="D232">
        <f>[1]Customer_Data!M231</f>
        <v>19468</v>
      </c>
    </row>
    <row r="233" spans="1:4" x14ac:dyDescent="0.3">
      <c r="A233" t="str">
        <f>[1]Customer_Data!A232</f>
        <v>C0231</v>
      </c>
      <c r="B233">
        <f>[1]Customer_Data!J232</f>
        <v>24</v>
      </c>
      <c r="C233">
        <f>[1]Customer_Data!K232</f>
        <v>5</v>
      </c>
      <c r="D233">
        <f>[1]Customer_Data!M232</f>
        <v>54796</v>
      </c>
    </row>
    <row r="234" spans="1:4" x14ac:dyDescent="0.3">
      <c r="A234" t="str">
        <f>[1]Customer_Data!A233</f>
        <v>C0232</v>
      </c>
      <c r="B234">
        <f>[1]Customer_Data!J233</f>
        <v>38</v>
      </c>
      <c r="C234">
        <f>[1]Customer_Data!K233</f>
        <v>3</v>
      </c>
      <c r="D234">
        <f>[1]Customer_Data!M233</f>
        <v>9178</v>
      </c>
    </row>
    <row r="235" spans="1:4" x14ac:dyDescent="0.3">
      <c r="A235" t="str">
        <f>[1]Customer_Data!A234</f>
        <v>C0233</v>
      </c>
      <c r="B235">
        <f>[1]Customer_Data!J234</f>
        <v>2</v>
      </c>
      <c r="C235">
        <f>[1]Customer_Data!K234</f>
        <v>5</v>
      </c>
      <c r="D235">
        <f>[1]Customer_Data!M234</f>
        <v>18461</v>
      </c>
    </row>
    <row r="236" spans="1:4" x14ac:dyDescent="0.3">
      <c r="A236" t="str">
        <f>[1]Customer_Data!A235</f>
        <v>C0234</v>
      </c>
      <c r="B236">
        <f>[1]Customer_Data!J235</f>
        <v>25</v>
      </c>
      <c r="C236">
        <f>[1]Customer_Data!K235</f>
        <v>3</v>
      </c>
      <c r="D236">
        <f>[1]Customer_Data!M235</f>
        <v>5820</v>
      </c>
    </row>
    <row r="237" spans="1:4" x14ac:dyDescent="0.3">
      <c r="A237" t="str">
        <f>[1]Customer_Data!A236</f>
        <v>C0235</v>
      </c>
      <c r="B237">
        <f>[1]Customer_Data!J236</f>
        <v>49</v>
      </c>
      <c r="C237">
        <f>[1]Customer_Data!K236</f>
        <v>5</v>
      </c>
      <c r="D237">
        <f>[1]Customer_Data!M236</f>
        <v>24066</v>
      </c>
    </row>
    <row r="238" spans="1:4" x14ac:dyDescent="0.3">
      <c r="A238" t="str">
        <f>[1]Customer_Data!A237</f>
        <v>C0236</v>
      </c>
      <c r="B238">
        <f>[1]Customer_Data!J237</f>
        <v>52</v>
      </c>
      <c r="C238">
        <f>[1]Customer_Data!K237</f>
        <v>3</v>
      </c>
      <c r="D238">
        <f>[1]Customer_Data!M237</f>
        <v>3065</v>
      </c>
    </row>
    <row r="239" spans="1:4" x14ac:dyDescent="0.3">
      <c r="A239" t="str">
        <f>[1]Customer_Data!A238</f>
        <v>C0237</v>
      </c>
      <c r="B239">
        <f>[1]Customer_Data!J238</f>
        <v>18</v>
      </c>
      <c r="C239">
        <f>[1]Customer_Data!K238</f>
        <v>5</v>
      </c>
      <c r="D239">
        <f>[1]Customer_Data!M238</f>
        <v>37160</v>
      </c>
    </row>
    <row r="240" spans="1:4" x14ac:dyDescent="0.3">
      <c r="A240" t="str">
        <f>[1]Customer_Data!A239</f>
        <v>C0238</v>
      </c>
      <c r="B240">
        <f>[1]Customer_Data!J239</f>
        <v>8</v>
      </c>
      <c r="C240">
        <f>[1]Customer_Data!K239</f>
        <v>4</v>
      </c>
      <c r="D240">
        <f>[1]Customer_Data!M239</f>
        <v>17920</v>
      </c>
    </row>
    <row r="241" spans="1:4" x14ac:dyDescent="0.3">
      <c r="A241" t="str">
        <f>[1]Customer_Data!A240</f>
        <v>C0239</v>
      </c>
      <c r="B241">
        <f>[1]Customer_Data!J240</f>
        <v>21</v>
      </c>
      <c r="C241">
        <f>[1]Customer_Data!K240</f>
        <v>6</v>
      </c>
      <c r="D241">
        <f>[1]Customer_Data!M240</f>
        <v>22471</v>
      </c>
    </row>
    <row r="242" spans="1:4" x14ac:dyDescent="0.3">
      <c r="A242" t="str">
        <f>[1]Customer_Data!A241</f>
        <v>C0240</v>
      </c>
      <c r="B242">
        <f>[1]Customer_Data!J241</f>
        <v>33</v>
      </c>
      <c r="C242">
        <f>[1]Customer_Data!K241</f>
        <v>5</v>
      </c>
      <c r="D242">
        <f>[1]Customer_Data!M241</f>
        <v>11622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Sharma</dc:creator>
  <cp:lastModifiedBy>Manish Sharma</cp:lastModifiedBy>
  <dcterms:created xsi:type="dcterms:W3CDTF">2026-03-03T07:00:33Z</dcterms:created>
  <dcterms:modified xsi:type="dcterms:W3CDTF">2026-03-03T07:02:19Z</dcterms:modified>
</cp:coreProperties>
</file>