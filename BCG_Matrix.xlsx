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weta Sharma\Desktop\Excel workshop\"/>
    </mc:Choice>
  </mc:AlternateContent>
  <xr:revisionPtr revIDLastSave="0" documentId="8_{55B595A4-819C-4BA1-AB4E-23009968C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<sst xmlns="http://schemas.openxmlformats.org/spreadsheetml/2006/main" count="43" uniqueCount="36">
  <si>
    <t>Business Unit</t>
  </si>
  <si>
    <t>Product</t>
  </si>
  <si>
    <t>Market Growth % (Y)</t>
  </si>
  <si>
    <t>Relative Market Share (X)</t>
  </si>
  <si>
    <t>Annual Revenue (M$) (Bubble size)</t>
  </si>
  <si>
    <t>Profit Margin %</t>
  </si>
  <si>
    <t>BCG Quadrant (formula)</t>
  </si>
  <si>
    <t>Teaching Notes</t>
  </si>
  <si>
    <t>BCG Cutoffs</t>
  </si>
  <si>
    <t>Mobility</t>
  </si>
  <si>
    <t>Astra EV</t>
  </si>
  <si>
    <t>Growth cutoff (%)</t>
  </si>
  <si>
    <t>Energy</t>
  </si>
  <si>
    <t>Beacon Batteries</t>
  </si>
  <si>
    <t>Share cutoff (relative)</t>
  </si>
  <si>
    <t>Cobalt Solar</t>
  </si>
  <si>
    <t>Dynamo Wind</t>
  </si>
  <si>
    <t>Quadrant formula used</t>
  </si>
  <si>
    <t>Stars/Cash Cows/Question Marks/Dogs based on cutoffs</t>
  </si>
  <si>
    <t>Utilities</t>
  </si>
  <si>
    <t>Eon Grid</t>
  </si>
  <si>
    <t>Flux Storage</t>
  </si>
  <si>
    <t>Industrial</t>
  </si>
  <si>
    <t>Gaia IoT</t>
  </si>
  <si>
    <t>Cloud</t>
  </si>
  <si>
    <t>Helios AI</t>
  </si>
  <si>
    <t>Ion Mobility</t>
  </si>
  <si>
    <t>Services</t>
  </si>
  <si>
    <t>Joule Services</t>
  </si>
  <si>
    <t>Kepler Analytics</t>
  </si>
  <si>
    <t>Consumer</t>
  </si>
  <si>
    <t>Lumen Devices</t>
  </si>
  <si>
    <t>Security</t>
  </si>
  <si>
    <t>Matrix Security</t>
  </si>
  <si>
    <t>Nova Robotics</t>
  </si>
  <si>
    <t>Orion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</si>
</sst>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folioTable" displayName="PortfolioTable" ref="A1:H16">
  <autoFilter ref="A1:H16" xr:uid="{00000000-0009-0000-0100-000001000000}"/>
  <tableColumns count="8">
    <tableColumn id="1" xr3:uid="{00000000-0010-0000-0000-000001000000}" name="Business Unit"/>
    <tableColumn id="2" xr3:uid="{00000000-0010-0000-0000-000002000000}" name="Product"/>
    <tableColumn id="3" xr3:uid="{00000000-0010-0000-0000-000003000000}" name="Market Growth % (Y)"/>
    <tableColumn id="4" xr3:uid="{00000000-0010-0000-0000-000004000000}" name="Relative Market Share (X)"/>
    <tableColumn id="5" xr3:uid="{00000000-0010-0000-0000-000005000000}" name="Annual Revenue (M$) (Bubble size)"/>
    <tableColumn id="6" xr3:uid="{00000000-0010-0000-0000-000006000000}" name="Profit Margin %"/>
    <tableColumn id="7" xr3:uid="{00000000-0010-0000-0000-000007000000}" name="BCG Quadrant (formula)"/>
    <tableColumn id="8" xr3:uid="{00000000-0010-0000-0000-000008000000}" name="Teaching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93" workbookViewId="0">
      <selection activeCell="A7" sqref="A7"/>
    </sheetView>
  </sheetViews>
  <sheetFormatPr defaultRowHeight="14.4" x14ac:dyDescent="0.3"/>
  <cols>
    <col min="1" max="1" width="16" customWidth="1"/>
    <col min="2" max="3" width="20" customWidth="1"/>
    <col min="4" max="4" width="24" customWidth="1"/>
    <col min="5" max="5" width="30" customWidth="1"/>
    <col min="6" max="6" width="16" customWidth="1"/>
    <col min="7" max="7" width="20" customWidth="1"/>
    <col min="8" max="8" width="28" customWidth="1"/>
    <col min="10" max="10" width="22" customWidth="1"/>
    <col min="11" max="11" width="62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1" x14ac:dyDescent="0.3">
      <c r="A2" t="s">
        <v>9</v>
      </c>
      <c r="B2" t="s">
        <v>10</v>
      </c>
      <c r="C2">
        <v>3.1</v>
      </c>
      <c r="D2">
        <v>3.47</v>
      </c>
      <c r="E2">
        <v>124.6</v>
      </c>
      <c r="F2">
        <v>21.8</v>
      </c>
      <c r="G2" t="str">
        <f t="shared" ref="G2:G16" si="0">IF(AND(C2&gt;=$K$2,D2&gt;=$K$3),"Star",IF(AND(C2&lt;$K$2,D2&gt;=$K$3),"Cash Cow",IF(AND(C2&gt;=$K$2,D2&lt;$K$3),"Question Mark","Dog")))</f>
        <v>Cash Cow</v>
      </c>
      <c r="J2" t="s">
        <v>11</v>
      </c>
      <c r="K2">
        <v>10</v>
      </c>
    </row>
    <row r="3" spans="1:11" x14ac:dyDescent="0.3">
      <c r="A3" t="s">
        <v>12</v>
      </c>
      <c r="B3" t="s">
        <v>13</v>
      </c>
      <c r="C3">
        <v>22.1</v>
      </c>
      <c r="D3">
        <v>0.93</v>
      </c>
      <c r="E3">
        <v>277.60000000000002</v>
      </c>
      <c r="F3">
        <v>7.4</v>
      </c>
      <c r="G3" t="str">
        <f t="shared" si="0"/>
        <v>Question Mark</v>
      </c>
      <c r="J3" t="s">
        <v>14</v>
      </c>
      <c r="K3">
        <v>1</v>
      </c>
    </row>
    <row r="4" spans="1:11" x14ac:dyDescent="0.3">
      <c r="A4" t="s">
        <v>12</v>
      </c>
      <c r="B4" t="s">
        <v>15</v>
      </c>
      <c r="C4">
        <v>12.8</v>
      </c>
      <c r="D4">
        <v>1.8</v>
      </c>
      <c r="E4">
        <v>214.2</v>
      </c>
      <c r="F4">
        <v>30.6</v>
      </c>
      <c r="G4" t="str">
        <f t="shared" si="0"/>
        <v>Star</v>
      </c>
    </row>
    <row r="5" spans="1:11" x14ac:dyDescent="0.3">
      <c r="A5" t="s">
        <v>12</v>
      </c>
      <c r="B5" t="s">
        <v>16</v>
      </c>
      <c r="C5">
        <v>20.5</v>
      </c>
      <c r="D5">
        <v>3.55</v>
      </c>
      <c r="E5">
        <v>270.39999999999998</v>
      </c>
      <c r="F5">
        <v>-3.5</v>
      </c>
      <c r="G5" t="str">
        <f t="shared" si="0"/>
        <v>Star</v>
      </c>
      <c r="J5" t="s">
        <v>17</v>
      </c>
      <c r="K5" t="s">
        <v>18</v>
      </c>
    </row>
    <row r="6" spans="1:11" x14ac:dyDescent="0.3">
      <c r="A6" t="s">
        <v>19</v>
      </c>
      <c r="B6" t="s">
        <v>20</v>
      </c>
      <c r="C6">
        <v>27.4</v>
      </c>
      <c r="D6">
        <v>0.24</v>
      </c>
      <c r="E6">
        <v>210.8</v>
      </c>
      <c r="F6">
        <v>22.8</v>
      </c>
      <c r="G6" t="str">
        <f t="shared" si="0"/>
        <v>Question Mark</v>
      </c>
    </row>
    <row r="7" spans="1:11" x14ac:dyDescent="0.3">
      <c r="A7" t="s">
        <v>12</v>
      </c>
      <c r="B7" t="s">
        <v>21</v>
      </c>
      <c r="C7">
        <v>15.5</v>
      </c>
      <c r="D7">
        <v>2.34</v>
      </c>
      <c r="E7">
        <v>463.3</v>
      </c>
      <c r="F7">
        <v>7.9</v>
      </c>
      <c r="G7" t="str">
        <f t="shared" si="0"/>
        <v>Star</v>
      </c>
    </row>
    <row r="8" spans="1:11" x14ac:dyDescent="0.3">
      <c r="A8" t="s">
        <v>22</v>
      </c>
      <c r="B8" t="s">
        <v>23</v>
      </c>
      <c r="C8">
        <v>14.5</v>
      </c>
      <c r="D8">
        <v>3.62</v>
      </c>
      <c r="E8">
        <v>426.2</v>
      </c>
      <c r="F8">
        <v>8</v>
      </c>
      <c r="G8" t="str">
        <f t="shared" si="0"/>
        <v>Star</v>
      </c>
    </row>
    <row r="9" spans="1:11" x14ac:dyDescent="0.3">
      <c r="A9" t="s">
        <v>24</v>
      </c>
      <c r="B9" t="s">
        <v>25</v>
      </c>
      <c r="C9">
        <v>2.9</v>
      </c>
      <c r="D9">
        <v>0.99</v>
      </c>
      <c r="E9">
        <v>183</v>
      </c>
      <c r="F9">
        <v>17.8</v>
      </c>
      <c r="G9" t="str">
        <f t="shared" si="0"/>
        <v>Dog</v>
      </c>
    </row>
    <row r="10" spans="1:11" x14ac:dyDescent="0.3">
      <c r="A10" t="s">
        <v>9</v>
      </c>
      <c r="B10" t="s">
        <v>26</v>
      </c>
      <c r="C10">
        <v>8.1999999999999993</v>
      </c>
      <c r="D10">
        <v>2.15</v>
      </c>
      <c r="E10">
        <v>321.39999999999998</v>
      </c>
      <c r="F10">
        <v>12.6</v>
      </c>
      <c r="G10" t="str">
        <f t="shared" si="0"/>
        <v>Cash Cow</v>
      </c>
    </row>
    <row r="11" spans="1:11" x14ac:dyDescent="0.3">
      <c r="A11" t="s">
        <v>27</v>
      </c>
      <c r="B11" t="s">
        <v>28</v>
      </c>
      <c r="C11">
        <v>14.5</v>
      </c>
      <c r="D11">
        <v>3.47</v>
      </c>
      <c r="E11">
        <v>162.69999999999999</v>
      </c>
      <c r="F11">
        <v>7.5</v>
      </c>
      <c r="G11" t="str">
        <f t="shared" si="0"/>
        <v>Star</v>
      </c>
    </row>
    <row r="12" spans="1:11" x14ac:dyDescent="0.3">
      <c r="A12" t="s">
        <v>27</v>
      </c>
      <c r="B12" t="s">
        <v>29</v>
      </c>
      <c r="C12">
        <v>19.3</v>
      </c>
      <c r="D12">
        <v>0.64</v>
      </c>
      <c r="E12">
        <v>257.3</v>
      </c>
      <c r="F12">
        <v>-11.9</v>
      </c>
      <c r="G12" t="str">
        <f t="shared" si="0"/>
        <v>Question Mark</v>
      </c>
    </row>
    <row r="13" spans="1:11" x14ac:dyDescent="0.3">
      <c r="A13" t="s">
        <v>30</v>
      </c>
      <c r="B13" t="s">
        <v>31</v>
      </c>
      <c r="C13">
        <v>22.7</v>
      </c>
      <c r="D13">
        <v>2.06</v>
      </c>
      <c r="E13">
        <v>203.8</v>
      </c>
      <c r="F13">
        <v>-7.7</v>
      </c>
      <c r="G13" t="str">
        <f t="shared" si="0"/>
        <v>Star</v>
      </c>
    </row>
    <row r="14" spans="1:11" x14ac:dyDescent="0.3">
      <c r="A14" t="s">
        <v>32</v>
      </c>
      <c r="B14" t="s">
        <v>33</v>
      </c>
      <c r="C14">
        <v>11.3</v>
      </c>
      <c r="D14">
        <v>2.89</v>
      </c>
      <c r="E14">
        <v>366.7</v>
      </c>
      <c r="F14">
        <v>21.3</v>
      </c>
      <c r="G14" t="str">
        <f t="shared" si="0"/>
        <v>Star</v>
      </c>
    </row>
    <row r="15" spans="1:11" x14ac:dyDescent="0.3">
      <c r="A15" t="s">
        <v>22</v>
      </c>
      <c r="B15" t="s">
        <v>34</v>
      </c>
      <c r="C15">
        <v>2.8</v>
      </c>
      <c r="D15">
        <v>2.59</v>
      </c>
      <c r="E15">
        <v>213.1</v>
      </c>
      <c r="F15">
        <v>12.6</v>
      </c>
      <c r="G15" t="str">
        <f t="shared" si="0"/>
        <v>Cash Cow</v>
      </c>
    </row>
    <row r="16" spans="1:11" x14ac:dyDescent="0.3">
      <c r="A16" t="s">
        <v>24</v>
      </c>
      <c r="B16" t="s">
        <v>35</v>
      </c>
      <c r="C16">
        <v>8.8000000000000007</v>
      </c>
      <c r="D16">
        <v>1.86</v>
      </c>
      <c r="E16">
        <v>260.60000000000002</v>
      </c>
      <c r="F16">
        <v>20.7</v>
      </c>
      <c r="G16" t="str">
        <f t="shared" si="0"/>
        <v>Cash Cow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Manish Sharma</cp:lastModifiedBy>
  <cp:revision/>
  <dcterms:created xsi:type="dcterms:W3CDTF">2026-03-02T17:42:39Z</dcterms:created>
  <dcterms:modified xsi:type="dcterms:W3CDTF">2026-03-03T06:59:26Z</dcterms:modified>
  <cp:category/>
  <cp:contentStatus/>
</cp:coreProperties>
</file>